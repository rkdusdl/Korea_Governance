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yeon\rkdus.DESKTOP-OV48AN8\Dropbox\가연\연구중.... catchmeifyouwant\Korea Markup\raw\"/>
    </mc:Choice>
  </mc:AlternateContent>
  <bookViews>
    <workbookView xWindow="0" yWindow="0" windowWidth="15900" windowHeight="7992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2" i="1" l="1"/>
  <c r="J62" i="1" s="1"/>
  <c r="I63" i="1"/>
  <c r="J63" i="1" s="1"/>
  <c r="I64" i="1"/>
  <c r="J64" i="1" s="1"/>
  <c r="I65" i="1"/>
  <c r="J65" i="1" s="1"/>
  <c r="I66" i="1"/>
  <c r="J66" i="1"/>
  <c r="I67" i="1"/>
  <c r="J67" i="1" s="1"/>
  <c r="I68" i="1"/>
  <c r="J68" i="1" s="1"/>
  <c r="I69" i="1"/>
  <c r="J69" i="1" s="1"/>
  <c r="I70" i="1"/>
  <c r="J70" i="1" s="1"/>
  <c r="I71" i="1"/>
  <c r="J71" i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/>
  <c r="I227" i="1"/>
  <c r="J227" i="1" s="1"/>
  <c r="I228" i="1"/>
  <c r="J228" i="1" s="1"/>
  <c r="I229" i="1"/>
  <c r="J229" i="1" s="1"/>
  <c r="I230" i="1"/>
  <c r="J230" i="1" s="1"/>
  <c r="I231" i="1"/>
  <c r="J231" i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/>
  <c r="I301" i="1"/>
  <c r="J301" i="1" s="1"/>
  <c r="I302" i="1"/>
  <c r="J302" i="1" s="1"/>
  <c r="I303" i="1"/>
  <c r="J303" i="1" s="1"/>
  <c r="I304" i="1"/>
  <c r="J304" i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/>
  <c r="I313" i="1"/>
  <c r="J313" i="1" s="1"/>
  <c r="I314" i="1"/>
  <c r="J314" i="1" s="1"/>
  <c r="I315" i="1"/>
  <c r="J315" i="1" s="1"/>
  <c r="I316" i="1"/>
  <c r="J316" i="1" s="1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3" i="2"/>
  <c r="H263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1" i="2"/>
  <c r="H151" i="2"/>
  <c r="I150" i="2"/>
  <c r="H150" i="2"/>
  <c r="I149" i="2"/>
  <c r="H149" i="2"/>
  <c r="I148" i="2"/>
  <c r="H148" i="2"/>
  <c r="I147" i="2"/>
  <c r="H147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9" i="2"/>
  <c r="H129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</calcChain>
</file>

<file path=xl/sharedStrings.xml><?xml version="1.0" encoding="utf-8"?>
<sst xmlns="http://schemas.openxmlformats.org/spreadsheetml/2006/main" count="19" uniqueCount="10">
  <si>
    <r>
      <rPr>
        <sz val="9"/>
        <color theme="1"/>
        <rFont val="맑은 고딕"/>
        <family val="2"/>
        <charset val="129"/>
        <scheme val="minor"/>
      </rPr>
      <t>코스피 종가지수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포인트</t>
    </r>
    <r>
      <rPr>
        <sz val="9"/>
        <color theme="1"/>
        <rFont val="Arial"/>
        <family val="2"/>
      </rPr>
      <t>)</t>
    </r>
    <phoneticPr fontId="2" type="noConversion"/>
  </si>
  <si>
    <r>
      <rPr>
        <sz val="9"/>
        <color theme="1"/>
        <rFont val="맑은 고딕"/>
        <family val="2"/>
        <charset val="129"/>
        <scheme val="minor"/>
      </rPr>
      <t>코스피 수익률</t>
    </r>
    <r>
      <rPr>
        <sz val="9"/>
        <color theme="1"/>
        <rFont val="Arial"/>
        <family val="2"/>
      </rPr>
      <t xml:space="preserve"> (1</t>
    </r>
    <r>
      <rPr>
        <sz val="9"/>
        <color theme="1"/>
        <rFont val="맑은 고딕"/>
        <family val="2"/>
        <charset val="129"/>
        <scheme val="minor"/>
      </rPr>
      <t>개월</t>
    </r>
    <r>
      <rPr>
        <sz val="9"/>
        <color theme="1"/>
        <rFont val="Arial"/>
        <family val="2"/>
      </rPr>
      <t>)(%)</t>
    </r>
    <phoneticPr fontId="2" type="noConversion"/>
  </si>
  <si>
    <r>
      <rPr>
        <sz val="9"/>
        <color theme="1"/>
        <rFont val="맑은 고딕"/>
        <family val="2"/>
        <charset val="129"/>
        <scheme val="minor"/>
      </rPr>
      <t>코스피 수익률</t>
    </r>
    <r>
      <rPr>
        <sz val="9"/>
        <color theme="1"/>
        <rFont val="Arial"/>
        <family val="2"/>
      </rPr>
      <t xml:space="preserve"> (12</t>
    </r>
    <r>
      <rPr>
        <sz val="9"/>
        <color theme="1"/>
        <rFont val="맑은 고딕"/>
        <family val="2"/>
        <charset val="129"/>
        <scheme val="minor"/>
      </rPr>
      <t>개월</t>
    </r>
    <r>
      <rPr>
        <sz val="9"/>
        <color theme="1"/>
        <rFont val="Arial"/>
        <family val="2"/>
      </rPr>
      <t>)(%)</t>
    </r>
    <phoneticPr fontId="2" type="noConversion"/>
  </si>
  <si>
    <r>
      <rPr>
        <sz val="9"/>
        <color theme="1"/>
        <rFont val="맑은 고딕"/>
        <family val="2"/>
        <charset val="129"/>
        <scheme val="minor"/>
      </rPr>
      <t>코스피 시가총액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보통</t>
    </r>
    <r>
      <rPr>
        <sz val="9"/>
        <color theme="1"/>
        <rFont val="Arial"/>
        <family val="2"/>
      </rPr>
      <t>-</t>
    </r>
    <r>
      <rPr>
        <sz val="9"/>
        <color theme="1"/>
        <rFont val="맑은 고딕"/>
        <family val="2"/>
        <charset val="129"/>
        <scheme val="minor"/>
      </rPr>
      <t>상장예정주식수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포함</t>
    </r>
    <r>
      <rPr>
        <sz val="9"/>
        <color theme="1"/>
        <rFont val="Arial"/>
        <family val="2"/>
      </rPr>
      <t>)(</t>
    </r>
    <r>
      <rPr>
        <sz val="9"/>
        <color theme="1"/>
        <rFont val="맑은 고딕"/>
        <family val="2"/>
        <charset val="129"/>
        <scheme val="minor"/>
      </rPr>
      <t>백만원</t>
    </r>
    <r>
      <rPr>
        <sz val="9"/>
        <color theme="1"/>
        <rFont val="Arial"/>
        <family val="2"/>
      </rPr>
      <t>)</t>
    </r>
    <phoneticPr fontId="2" type="noConversion"/>
  </si>
  <si>
    <t>date</t>
    <phoneticPr fontId="2" type="noConversion"/>
  </si>
  <si>
    <t>통안증권(1년)</t>
  </si>
  <si>
    <r>
      <t>KOSPI_</t>
    </r>
    <r>
      <rPr>
        <sz val="9"/>
        <color theme="1"/>
        <rFont val="맑은 고딕"/>
        <family val="2"/>
        <charset val="129"/>
      </rPr>
      <t>배당수익률</t>
    </r>
    <r>
      <rPr>
        <sz val="9"/>
        <color theme="1"/>
        <rFont val="Arial"/>
        <family val="2"/>
      </rPr>
      <t xml:space="preserve"> </t>
    </r>
    <phoneticPr fontId="2" type="noConversion"/>
  </si>
  <si>
    <t>MKT_div</t>
    <phoneticPr fontId="2" type="noConversion"/>
  </si>
  <si>
    <t>MKT-RF</t>
    <phoneticPr fontId="2" type="noConversion"/>
  </si>
  <si>
    <t>RF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</si>
</sst>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\-mm\-dd"/>
    <numFmt numFmtId="177" formatCode="#,##0.00_ "/>
  </numFmts>
  <fonts count="6" x14ac:knownFonts="1">
    <font>
      <sz val="11"/>
      <color theme="1"/>
      <name val="맑은 고딕"/>
      <family val="2"/>
      <charset val="129"/>
      <scheme val="minor"/>
    </font>
    <font>
      <sz val="9"/>
      <color theme="1"/>
      <name val="Arial"/>
      <family val="2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Arial"/>
      <family val="2"/>
      <charset val="129"/>
    </font>
    <font>
      <sz val="9"/>
      <color theme="1"/>
      <name val="맑은 고딕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ABC3D6"/>
        <bgColor indexed="64"/>
      </patternFill>
    </fill>
    <fill>
      <patternFill patternType="solid">
        <fgColor rgb="FF87AAC5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A6A6A6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3" borderId="0" xfId="0" applyFont="1" applyFill="1" applyBorder="1" applyAlignment="1">
      <alignment horizontal="center" vertical="center"/>
    </xf>
    <xf numFmtId="176" fontId="1" fillId="4" borderId="0" xfId="0" applyNumberFormat="1" applyFont="1" applyFill="1" applyAlignment="1">
      <alignment horizontal="center" vertical="center"/>
    </xf>
    <xf numFmtId="4" fontId="1" fillId="5" borderId="0" xfId="0" applyNumberFormat="1" applyFont="1" applyFill="1" applyAlignment="1">
      <alignment horizontal="right" vertical="center"/>
    </xf>
    <xf numFmtId="3" fontId="1" fillId="5" borderId="0" xfId="0" applyNumberFormat="1" applyFont="1" applyFill="1" applyAlignment="1">
      <alignment horizontal="right" vertical="center"/>
    </xf>
    <xf numFmtId="176" fontId="1" fillId="4" borderId="1" xfId="0" applyNumberFormat="1" applyFont="1" applyFill="1" applyBorder="1" applyAlignment="1">
      <alignment horizontal="center" vertical="center"/>
    </xf>
    <xf numFmtId="4" fontId="1" fillId="5" borderId="1" xfId="0" applyNumberFormat="1" applyFont="1" applyFill="1" applyBorder="1" applyAlignment="1">
      <alignment horizontal="right" vertical="center"/>
    </xf>
    <xf numFmtId="3" fontId="1" fillId="5" borderId="1" xfId="0" applyNumberFormat="1" applyFont="1" applyFill="1" applyBorder="1" applyAlignment="1">
      <alignment horizontal="right" vertical="center"/>
    </xf>
    <xf numFmtId="0" fontId="4" fillId="2" borderId="0" xfId="0" applyNumberFormat="1" applyFont="1" applyFill="1" applyBorder="1" applyAlignment="1">
      <alignment horizontal="right" vertical="center"/>
    </xf>
    <xf numFmtId="177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0FFC1A66-39DA-41BF-BB7C-43539A27D87C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15240</xdr:colOff>
          <xdr:row>0</xdr:row>
          <xdr:rowOff>0</xdr:rowOff>
        </xdr:from>
        <xdr:to>
          <xdr:col>0</xdr:col>
          <xdr:colOff>480060</xdr:colOff>
          <xdr:row>0</xdr:row>
          <xdr:rowOff>0</xdr:rowOff>
        </xdr:to>
        <xdr:sp macro="" textlink="">
          <xdr:nvSpPr>
            <xdr:cNvPr id="1025" name="FnBt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J317"/>
  <sheetViews>
    <sheetView showGridLines="0" tabSelected="1" zoomScale="70" zoomScaleNormal="70" workbookViewId="0">
      <selection activeCell="I13" sqref="I13"/>
    </sheetView>
  </sheetViews>
  <sheetFormatPr defaultRowHeight="17.399999999999999" x14ac:dyDescent="0.4"/>
  <cols>
    <col min="1" max="1" width="11" bestFit="1" customWidth="1"/>
    <col min="2" max="2" width="18.09765625" customWidth="1"/>
    <col min="3" max="3" width="18.8984375" bestFit="1" customWidth="1"/>
    <col min="4" max="4" width="19.796875" customWidth="1"/>
    <col min="5" max="5" width="38.796875" bestFit="1" customWidth="1"/>
    <col min="6" max="7" width="12.8984375" customWidth="1"/>
    <col min="8" max="8" width="8.796875" customWidth="1"/>
  </cols>
  <sheetData>
    <row r="1" spans="1:10" x14ac:dyDescent="0.4">
      <c r="A1" s="1" t="s">
        <v>4</v>
      </c>
      <c r="B1" s="8" t="s">
        <v>0</v>
      </c>
      <c r="C1" s="8" t="s">
        <v>1</v>
      </c>
      <c r="D1" s="8" t="s">
        <v>2</v>
      </c>
      <c r="E1" s="8" t="s">
        <v>3</v>
      </c>
      <c r="F1" t="s">
        <v>9</v>
      </c>
      <c r="G1" t="s">
        <v>5</v>
      </c>
      <c r="H1" s="8" t="s">
        <v>6</v>
      </c>
      <c r="I1" s="8" t="s">
        <v>7</v>
      </c>
      <c r="J1" s="8" t="s">
        <v>8</v>
      </c>
    </row>
    <row r="2" spans="1:10" x14ac:dyDescent="0.4">
      <c r="A2" s="2">
        <v>36191</v>
      </c>
      <c r="B2" s="3">
        <v>571.42999999999995</v>
      </c>
      <c r="C2" s="3">
        <v>1.59</v>
      </c>
      <c r="D2" s="3">
        <v>10.18</v>
      </c>
      <c r="E2" s="4">
        <v>142388064</v>
      </c>
      <c r="F2">
        <v>7</v>
      </c>
      <c r="G2">
        <v>6.84</v>
      </c>
      <c r="H2" s="9"/>
      <c r="I2" s="9"/>
    </row>
    <row r="3" spans="1:10" x14ac:dyDescent="0.4">
      <c r="A3" s="2">
        <v>36219</v>
      </c>
      <c r="B3" s="3">
        <v>520.05999999999995</v>
      </c>
      <c r="C3" s="3">
        <v>-2.1</v>
      </c>
      <c r="D3" s="3">
        <v>-0.94</v>
      </c>
      <c r="E3" s="4">
        <v>132994118</v>
      </c>
      <c r="F3">
        <v>6.7</v>
      </c>
      <c r="G3">
        <v>6.89</v>
      </c>
      <c r="H3" s="3"/>
      <c r="I3" s="9"/>
    </row>
    <row r="4" spans="1:10" x14ac:dyDescent="0.4">
      <c r="A4" s="2">
        <v>36250</v>
      </c>
      <c r="B4" s="3">
        <v>618.98</v>
      </c>
      <c r="C4" s="3">
        <v>19.02</v>
      </c>
      <c r="D4" s="3">
        <v>28.68</v>
      </c>
      <c r="E4" s="4">
        <v>165010656</v>
      </c>
      <c r="F4">
        <v>6.56</v>
      </c>
      <c r="G4">
        <v>6.82</v>
      </c>
      <c r="H4" s="3"/>
      <c r="I4" s="9"/>
    </row>
    <row r="5" spans="1:10" x14ac:dyDescent="0.4">
      <c r="A5" s="2">
        <v>36280</v>
      </c>
      <c r="B5" s="3">
        <v>752.59</v>
      </c>
      <c r="C5" s="3">
        <v>21.59</v>
      </c>
      <c r="D5" s="3">
        <v>78.67</v>
      </c>
      <c r="E5" s="4">
        <v>208242257</v>
      </c>
      <c r="F5">
        <v>6.16</v>
      </c>
      <c r="G5">
        <v>6.37</v>
      </c>
      <c r="H5" s="3"/>
      <c r="I5" s="9"/>
    </row>
    <row r="6" spans="1:10" x14ac:dyDescent="0.4">
      <c r="A6" s="5">
        <v>36311</v>
      </c>
      <c r="B6" s="6">
        <v>736.02</v>
      </c>
      <c r="C6" s="6">
        <v>-2.2000000000000002</v>
      </c>
      <c r="D6" s="6">
        <v>121.67</v>
      </c>
      <c r="E6" s="7">
        <v>213614378</v>
      </c>
      <c r="F6">
        <v>6.17</v>
      </c>
      <c r="G6">
        <v>6.55</v>
      </c>
      <c r="H6" s="3"/>
      <c r="I6" s="9"/>
    </row>
    <row r="7" spans="1:10" x14ac:dyDescent="0.4">
      <c r="A7" s="2">
        <v>36341</v>
      </c>
      <c r="B7" s="3">
        <v>883</v>
      </c>
      <c r="C7" s="3">
        <v>19.97</v>
      </c>
      <c r="D7" s="3">
        <v>196.43</v>
      </c>
      <c r="E7" s="4">
        <v>263250940</v>
      </c>
      <c r="F7">
        <v>6.28</v>
      </c>
      <c r="G7">
        <v>6.58</v>
      </c>
      <c r="H7" s="3"/>
      <c r="I7" s="9"/>
    </row>
    <row r="8" spans="1:10" x14ac:dyDescent="0.4">
      <c r="A8" s="2">
        <v>36372</v>
      </c>
      <c r="B8" s="3">
        <v>969.72</v>
      </c>
      <c r="C8" s="3">
        <v>9.82</v>
      </c>
      <c r="D8" s="3">
        <v>181.15</v>
      </c>
      <c r="E8" s="4">
        <v>290140456</v>
      </c>
      <c r="F8">
        <v>6.75</v>
      </c>
      <c r="G8">
        <v>7.15</v>
      </c>
      <c r="H8" s="3"/>
      <c r="I8" s="9"/>
    </row>
    <row r="9" spans="1:10" x14ac:dyDescent="0.4">
      <c r="A9" s="2">
        <v>36403</v>
      </c>
      <c r="B9" s="3">
        <v>937.88</v>
      </c>
      <c r="C9" s="3">
        <v>-3.28</v>
      </c>
      <c r="D9" s="3">
        <v>202.39</v>
      </c>
      <c r="E9" s="4">
        <v>284810784</v>
      </c>
      <c r="F9">
        <v>7.19</v>
      </c>
      <c r="G9">
        <v>8.17</v>
      </c>
      <c r="H9" s="3"/>
      <c r="I9" s="9"/>
    </row>
    <row r="10" spans="1:10" x14ac:dyDescent="0.4">
      <c r="A10" s="2">
        <v>36433</v>
      </c>
      <c r="B10" s="3">
        <v>836.18</v>
      </c>
      <c r="C10" s="3">
        <v>-10.84</v>
      </c>
      <c r="D10" s="3">
        <v>169.46</v>
      </c>
      <c r="E10" s="4">
        <v>255633841</v>
      </c>
      <c r="F10">
        <v>7.54</v>
      </c>
      <c r="G10">
        <v>8.56</v>
      </c>
      <c r="H10" s="3"/>
      <c r="I10" s="9"/>
    </row>
    <row r="11" spans="1:10" x14ac:dyDescent="0.4">
      <c r="A11" s="5">
        <v>36464</v>
      </c>
      <c r="B11" s="6">
        <v>833.51</v>
      </c>
      <c r="C11" s="6">
        <v>-4.07</v>
      </c>
      <c r="D11" s="6">
        <v>125.09</v>
      </c>
      <c r="E11" s="7">
        <v>268009289</v>
      </c>
      <c r="F11">
        <v>7.29</v>
      </c>
      <c r="G11">
        <v>8</v>
      </c>
      <c r="H11" s="3"/>
      <c r="I11" s="9"/>
    </row>
    <row r="12" spans="1:10" x14ac:dyDescent="0.4">
      <c r="A12" s="2">
        <v>36494</v>
      </c>
      <c r="B12" s="3">
        <v>996.66</v>
      </c>
      <c r="C12" s="3">
        <v>19.57</v>
      </c>
      <c r="D12" s="3">
        <v>120.56</v>
      </c>
      <c r="E12" s="4">
        <v>326809071</v>
      </c>
      <c r="F12">
        <v>6.91</v>
      </c>
      <c r="G12">
        <v>8.32</v>
      </c>
      <c r="H12" s="3"/>
      <c r="I12" s="9"/>
    </row>
    <row r="13" spans="1:10" x14ac:dyDescent="0.4">
      <c r="A13" s="2">
        <v>36525</v>
      </c>
      <c r="B13" s="3">
        <v>1028.07</v>
      </c>
      <c r="C13" s="3">
        <v>8.31</v>
      </c>
      <c r="D13" s="3">
        <v>82.78</v>
      </c>
      <c r="E13" s="4">
        <v>342635040</v>
      </c>
      <c r="F13">
        <v>7.16</v>
      </c>
      <c r="G13">
        <v>8.83</v>
      </c>
      <c r="H13" s="3"/>
      <c r="I13" s="9"/>
    </row>
    <row r="14" spans="1:10" x14ac:dyDescent="0.4">
      <c r="A14" s="2">
        <v>36556</v>
      </c>
      <c r="B14" s="3">
        <v>943.88</v>
      </c>
      <c r="C14" s="3">
        <v>-8.19</v>
      </c>
      <c r="D14" s="3">
        <v>65.180000000000007</v>
      </c>
      <c r="E14" s="4">
        <v>316146202</v>
      </c>
      <c r="F14">
        <v>7.28</v>
      </c>
      <c r="G14">
        <v>8.8699999999999992</v>
      </c>
      <c r="H14" s="3"/>
      <c r="I14" s="9"/>
    </row>
    <row r="15" spans="1:10" x14ac:dyDescent="0.4">
      <c r="A15" s="2">
        <v>36585</v>
      </c>
      <c r="B15" s="3">
        <v>828.38</v>
      </c>
      <c r="C15" s="3">
        <v>-12.03</v>
      </c>
      <c r="D15" s="3">
        <v>59.29</v>
      </c>
      <c r="E15" s="4">
        <v>277714290</v>
      </c>
      <c r="F15">
        <v>7.13</v>
      </c>
      <c r="G15">
        <v>8.52</v>
      </c>
      <c r="H15" s="3"/>
      <c r="I15" s="9"/>
    </row>
    <row r="16" spans="1:10" x14ac:dyDescent="0.4">
      <c r="A16" s="5">
        <v>36616</v>
      </c>
      <c r="B16" s="6">
        <v>860.94</v>
      </c>
      <c r="C16" s="6">
        <v>3.93</v>
      </c>
      <c r="D16" s="6">
        <v>39.090000000000003</v>
      </c>
      <c r="E16" s="7">
        <v>288603714</v>
      </c>
      <c r="F16">
        <v>7</v>
      </c>
      <c r="G16">
        <v>8.3699999999999992</v>
      </c>
      <c r="H16" s="3"/>
      <c r="I16" s="9"/>
    </row>
    <row r="17" spans="1:9" x14ac:dyDescent="0.4">
      <c r="A17" s="2">
        <v>36646</v>
      </c>
      <c r="B17" s="3">
        <v>725.39</v>
      </c>
      <c r="C17" s="3">
        <v>-18.61</v>
      </c>
      <c r="D17" s="3">
        <v>-8.18</v>
      </c>
      <c r="E17" s="4">
        <v>243001187</v>
      </c>
      <c r="F17">
        <v>7.06</v>
      </c>
      <c r="G17">
        <v>8.3699999999999992</v>
      </c>
      <c r="H17" s="3"/>
      <c r="I17" s="9"/>
    </row>
    <row r="18" spans="1:9" x14ac:dyDescent="0.4">
      <c r="A18" s="2">
        <v>36677</v>
      </c>
      <c r="B18" s="3">
        <v>731.88</v>
      </c>
      <c r="C18" s="3">
        <v>0.89</v>
      </c>
      <c r="D18" s="3">
        <v>-0.56000000000000005</v>
      </c>
      <c r="E18" s="4">
        <v>248250535</v>
      </c>
      <c r="F18">
        <v>7.14</v>
      </c>
      <c r="G18">
        <v>8.3699999999999992</v>
      </c>
      <c r="H18" s="3"/>
      <c r="I18" s="9"/>
    </row>
    <row r="19" spans="1:9" x14ac:dyDescent="0.4">
      <c r="A19" s="2">
        <v>36707</v>
      </c>
      <c r="B19" s="3">
        <v>821.22</v>
      </c>
      <c r="C19" s="3">
        <v>18.8</v>
      </c>
      <c r="D19" s="3">
        <v>-7</v>
      </c>
      <c r="E19" s="4">
        <v>278421712</v>
      </c>
      <c r="F19">
        <v>7.17</v>
      </c>
      <c r="G19">
        <v>8.2799999999999994</v>
      </c>
      <c r="H19" s="3"/>
      <c r="I19" s="9"/>
    </row>
    <row r="20" spans="1:9" x14ac:dyDescent="0.4">
      <c r="A20" s="2">
        <v>36738</v>
      </c>
      <c r="B20" s="3">
        <v>705.97</v>
      </c>
      <c r="C20" s="3">
        <v>-14.03</v>
      </c>
      <c r="D20" s="3">
        <v>-27.2</v>
      </c>
      <c r="E20" s="4">
        <v>239680202</v>
      </c>
      <c r="F20">
        <v>7.15</v>
      </c>
      <c r="G20">
        <v>7.6</v>
      </c>
      <c r="H20" s="3"/>
      <c r="I20" s="9"/>
    </row>
    <row r="21" spans="1:9" x14ac:dyDescent="0.4">
      <c r="A21" s="5">
        <v>36769</v>
      </c>
      <c r="B21" s="6">
        <v>688.62</v>
      </c>
      <c r="C21" s="6">
        <v>-2.46</v>
      </c>
      <c r="D21" s="6">
        <v>-26.58</v>
      </c>
      <c r="E21" s="7">
        <v>234736625</v>
      </c>
      <c r="F21">
        <v>7.04</v>
      </c>
      <c r="G21">
        <v>7.23</v>
      </c>
      <c r="H21" s="3"/>
      <c r="I21" s="9"/>
    </row>
    <row r="22" spans="1:9" x14ac:dyDescent="0.4">
      <c r="A22" s="2">
        <v>36799</v>
      </c>
      <c r="B22" s="3">
        <v>613.22</v>
      </c>
      <c r="C22" s="3">
        <v>-16.18</v>
      </c>
      <c r="D22" s="3">
        <v>-29.42</v>
      </c>
      <c r="E22" s="4">
        <v>209604473</v>
      </c>
      <c r="F22">
        <v>7.05</v>
      </c>
      <c r="G22">
        <v>7.3</v>
      </c>
      <c r="H22" s="3"/>
      <c r="I22" s="9"/>
    </row>
    <row r="23" spans="1:9" x14ac:dyDescent="0.4">
      <c r="A23" s="2">
        <v>36830</v>
      </c>
      <c r="B23" s="3">
        <v>514.48</v>
      </c>
      <c r="C23" s="3">
        <v>-16.100000000000001</v>
      </c>
      <c r="D23" s="3">
        <v>-38.28</v>
      </c>
      <c r="E23" s="4">
        <v>177163042</v>
      </c>
      <c r="F23">
        <v>7.04</v>
      </c>
      <c r="G23">
        <v>7.15</v>
      </c>
      <c r="H23" s="3"/>
      <c r="I23" s="9"/>
    </row>
    <row r="24" spans="1:9" x14ac:dyDescent="0.4">
      <c r="A24" s="2">
        <v>36860</v>
      </c>
      <c r="B24" s="3">
        <v>509.23</v>
      </c>
      <c r="C24" s="3">
        <v>0.89</v>
      </c>
      <c r="D24" s="3">
        <v>-48.91</v>
      </c>
      <c r="E24" s="4">
        <v>175581476</v>
      </c>
      <c r="F24">
        <v>6.99</v>
      </c>
      <c r="G24">
        <v>6.99</v>
      </c>
      <c r="H24" s="3"/>
      <c r="I24" s="9"/>
    </row>
    <row r="25" spans="1:9" x14ac:dyDescent="0.4">
      <c r="A25" s="2">
        <v>36891</v>
      </c>
      <c r="B25" s="3">
        <v>504.62</v>
      </c>
      <c r="C25" s="3">
        <v>-4.9400000000000004</v>
      </c>
      <c r="D25" s="3">
        <v>-49.11</v>
      </c>
      <c r="E25" s="4">
        <v>174767690</v>
      </c>
      <c r="F25">
        <v>6.89</v>
      </c>
      <c r="G25">
        <v>6.72</v>
      </c>
      <c r="H25" s="3"/>
      <c r="I25" s="9"/>
    </row>
    <row r="26" spans="1:9" x14ac:dyDescent="0.4">
      <c r="A26" s="5">
        <v>36922</v>
      </c>
      <c r="B26" s="6">
        <v>617.91</v>
      </c>
      <c r="C26" s="6">
        <v>22.45</v>
      </c>
      <c r="D26" s="6">
        <v>-34.54</v>
      </c>
      <c r="E26" s="7">
        <v>213062038</v>
      </c>
      <c r="F26">
        <v>6.43</v>
      </c>
      <c r="G26">
        <v>6.05</v>
      </c>
      <c r="H26" s="3"/>
      <c r="I26" s="9"/>
    </row>
    <row r="27" spans="1:9" x14ac:dyDescent="0.4">
      <c r="A27" s="2">
        <v>36950</v>
      </c>
      <c r="B27" s="3">
        <v>578.1</v>
      </c>
      <c r="C27" s="3">
        <v>-2.2999999999999998</v>
      </c>
      <c r="D27" s="3">
        <v>-29.41</v>
      </c>
      <c r="E27" s="4">
        <v>200031900</v>
      </c>
      <c r="F27">
        <v>5.73</v>
      </c>
      <c r="G27">
        <v>5.53</v>
      </c>
      <c r="H27" s="3"/>
      <c r="I27" s="9"/>
    </row>
    <row r="28" spans="1:9" x14ac:dyDescent="0.4">
      <c r="A28" s="2">
        <v>36981</v>
      </c>
      <c r="B28" s="3">
        <v>523.22</v>
      </c>
      <c r="C28" s="3">
        <v>-9.49</v>
      </c>
      <c r="D28" s="3">
        <v>-41.21</v>
      </c>
      <c r="E28" s="4">
        <v>179889710</v>
      </c>
      <c r="F28">
        <v>5.68</v>
      </c>
      <c r="G28">
        <v>5.82</v>
      </c>
      <c r="H28" s="3"/>
      <c r="I28" s="9"/>
    </row>
    <row r="29" spans="1:9" x14ac:dyDescent="0.4">
      <c r="A29" s="2">
        <v>37011</v>
      </c>
      <c r="B29" s="3">
        <v>577.36</v>
      </c>
      <c r="C29" s="3">
        <v>10.35</v>
      </c>
      <c r="D29" s="3">
        <v>-20.41</v>
      </c>
      <c r="E29" s="4">
        <v>198911067</v>
      </c>
      <c r="F29">
        <v>5.84</v>
      </c>
      <c r="G29">
        <v>6.21</v>
      </c>
      <c r="H29" s="3"/>
      <c r="I29" s="9"/>
    </row>
    <row r="30" spans="1:9" x14ac:dyDescent="0.4">
      <c r="A30" s="2">
        <v>37042</v>
      </c>
      <c r="B30" s="3">
        <v>612.16</v>
      </c>
      <c r="C30" s="3">
        <v>6.03</v>
      </c>
      <c r="D30" s="3">
        <v>-16.36</v>
      </c>
      <c r="E30" s="4">
        <v>211957827</v>
      </c>
      <c r="F30">
        <v>5.85</v>
      </c>
      <c r="G30">
        <v>6.1</v>
      </c>
      <c r="H30" s="3"/>
      <c r="I30" s="9"/>
    </row>
    <row r="31" spans="1:9" x14ac:dyDescent="0.4">
      <c r="A31" s="5">
        <v>37072</v>
      </c>
      <c r="B31" s="6">
        <v>595.13</v>
      </c>
      <c r="C31" s="6">
        <v>-5.84</v>
      </c>
      <c r="D31" s="6">
        <v>-27.33</v>
      </c>
      <c r="E31" s="7">
        <v>207941532</v>
      </c>
      <c r="F31">
        <v>5.65</v>
      </c>
      <c r="G31">
        <v>5.8</v>
      </c>
      <c r="H31" s="3"/>
      <c r="I31" s="9"/>
    </row>
    <row r="32" spans="1:9" x14ac:dyDescent="0.4">
      <c r="A32" s="2">
        <v>37103</v>
      </c>
      <c r="B32" s="3">
        <v>541.54999999999995</v>
      </c>
      <c r="C32" s="3">
        <v>-9</v>
      </c>
      <c r="D32" s="3">
        <v>-23.29</v>
      </c>
      <c r="E32" s="4">
        <v>191037796</v>
      </c>
      <c r="F32">
        <v>5.32</v>
      </c>
      <c r="G32">
        <v>5.46</v>
      </c>
      <c r="H32" s="3"/>
      <c r="I32" s="9"/>
    </row>
    <row r="33" spans="1:9" x14ac:dyDescent="0.4">
      <c r="A33" s="2">
        <v>37134</v>
      </c>
      <c r="B33" s="3">
        <v>545.11</v>
      </c>
      <c r="C33" s="3">
        <v>0.66</v>
      </c>
      <c r="D33" s="3">
        <v>-20.84</v>
      </c>
      <c r="E33" s="4">
        <v>192553271</v>
      </c>
      <c r="F33">
        <v>4.92</v>
      </c>
      <c r="G33">
        <v>5.05</v>
      </c>
      <c r="H33" s="3"/>
      <c r="I33" s="9"/>
    </row>
    <row r="34" spans="1:9" x14ac:dyDescent="0.4">
      <c r="A34" s="2">
        <v>37164</v>
      </c>
      <c r="B34" s="3">
        <v>479.68</v>
      </c>
      <c r="C34" s="3">
        <v>-16.8</v>
      </c>
      <c r="D34" s="3">
        <v>-20.83</v>
      </c>
      <c r="E34" s="4">
        <v>169856653</v>
      </c>
      <c r="F34">
        <v>4.66</v>
      </c>
      <c r="G34">
        <v>4.75</v>
      </c>
      <c r="H34" s="3"/>
      <c r="I34" s="9"/>
    </row>
    <row r="35" spans="1:9" x14ac:dyDescent="0.4">
      <c r="A35" s="2">
        <v>37195</v>
      </c>
      <c r="B35" s="3">
        <v>537.80999999999995</v>
      </c>
      <c r="C35" s="3">
        <v>12.12</v>
      </c>
      <c r="D35" s="3">
        <v>4.53</v>
      </c>
      <c r="E35" s="4">
        <v>190679702</v>
      </c>
      <c r="F35">
        <v>4.3600000000000003</v>
      </c>
      <c r="G35">
        <v>4.42</v>
      </c>
      <c r="H35" s="3"/>
      <c r="I35" s="9"/>
    </row>
    <row r="36" spans="1:9" x14ac:dyDescent="0.4">
      <c r="A36" s="5">
        <v>37225</v>
      </c>
      <c r="B36" s="6">
        <v>643.89</v>
      </c>
      <c r="C36" s="6">
        <v>20.61</v>
      </c>
      <c r="D36" s="6">
        <v>26.44</v>
      </c>
      <c r="E36" s="7">
        <v>231110825</v>
      </c>
      <c r="F36">
        <v>4.53</v>
      </c>
      <c r="G36">
        <v>4.88</v>
      </c>
      <c r="H36" s="3"/>
      <c r="I36" s="9"/>
    </row>
    <row r="37" spans="1:9" x14ac:dyDescent="0.4">
      <c r="A37" s="2">
        <v>37256</v>
      </c>
      <c r="B37" s="3">
        <v>693.7</v>
      </c>
      <c r="C37" s="3">
        <v>9.76</v>
      </c>
      <c r="D37" s="3">
        <v>37.47</v>
      </c>
      <c r="E37" s="4">
        <v>250222434</v>
      </c>
      <c r="F37">
        <v>4.84</v>
      </c>
      <c r="G37">
        <v>5.35</v>
      </c>
      <c r="H37" s="3"/>
      <c r="I37" s="9"/>
    </row>
    <row r="38" spans="1:9" x14ac:dyDescent="0.4">
      <c r="A38" s="2">
        <v>37287</v>
      </c>
      <c r="B38" s="3">
        <v>748.07</v>
      </c>
      <c r="C38" s="3">
        <v>7.84</v>
      </c>
      <c r="D38" s="3">
        <v>21.06</v>
      </c>
      <c r="E38" s="4">
        <v>272435405</v>
      </c>
      <c r="F38">
        <v>4.79</v>
      </c>
      <c r="G38">
        <v>5.23</v>
      </c>
      <c r="I38" s="9"/>
    </row>
    <row r="39" spans="1:9" x14ac:dyDescent="0.4">
      <c r="A39" s="2">
        <v>37315</v>
      </c>
      <c r="B39" s="3">
        <v>819.99</v>
      </c>
      <c r="C39" s="3">
        <v>5.09</v>
      </c>
      <c r="D39" s="3">
        <v>41.84</v>
      </c>
      <c r="E39" s="4">
        <v>298636787</v>
      </c>
      <c r="F39">
        <v>4.54</v>
      </c>
      <c r="G39">
        <v>4.97</v>
      </c>
      <c r="I39" s="9"/>
    </row>
    <row r="40" spans="1:9" x14ac:dyDescent="0.4">
      <c r="A40" s="2">
        <v>37346</v>
      </c>
      <c r="B40" s="3">
        <v>895.58</v>
      </c>
      <c r="C40" s="3">
        <v>9.2200000000000006</v>
      </c>
      <c r="D40" s="3">
        <v>70.98</v>
      </c>
      <c r="E40" s="4">
        <v>327292981</v>
      </c>
      <c r="F40">
        <v>4.6399999999999997</v>
      </c>
      <c r="G40">
        <v>5.26</v>
      </c>
      <c r="I40" s="9"/>
    </row>
    <row r="41" spans="1:9" x14ac:dyDescent="0.4">
      <c r="A41" s="5">
        <v>37376</v>
      </c>
      <c r="B41" s="6">
        <v>842.34</v>
      </c>
      <c r="C41" s="6">
        <v>-5.94</v>
      </c>
      <c r="D41" s="6">
        <v>45.9</v>
      </c>
      <c r="E41" s="7">
        <v>316085418</v>
      </c>
      <c r="F41">
        <v>4.79</v>
      </c>
      <c r="G41">
        <v>5.42</v>
      </c>
      <c r="I41" s="9"/>
    </row>
    <row r="42" spans="1:9" x14ac:dyDescent="0.4">
      <c r="A42" s="2">
        <v>37407</v>
      </c>
      <c r="B42" s="3">
        <v>796.4</v>
      </c>
      <c r="C42" s="3">
        <v>-5.45</v>
      </c>
      <c r="D42" s="3">
        <v>30.1</v>
      </c>
      <c r="E42" s="4">
        <v>300760420</v>
      </c>
      <c r="F42">
        <v>4.8099999999999996</v>
      </c>
      <c r="G42">
        <v>5.42</v>
      </c>
      <c r="I42" s="9"/>
    </row>
    <row r="43" spans="1:9" x14ac:dyDescent="0.4">
      <c r="A43" s="2">
        <v>37437</v>
      </c>
      <c r="B43" s="3">
        <v>742.72</v>
      </c>
      <c r="C43" s="3">
        <v>-12.5</v>
      </c>
      <c r="D43" s="3">
        <v>27.34</v>
      </c>
      <c r="E43" s="4">
        <v>289115863</v>
      </c>
      <c r="F43">
        <v>4.8499999999999996</v>
      </c>
      <c r="G43">
        <v>5.38</v>
      </c>
      <c r="I43" s="9"/>
    </row>
    <row r="44" spans="1:9" x14ac:dyDescent="0.4">
      <c r="A44" s="2">
        <v>37468</v>
      </c>
      <c r="B44" s="3">
        <v>717.99</v>
      </c>
      <c r="C44" s="3">
        <v>-3.33</v>
      </c>
      <c r="D44" s="3">
        <v>32.58</v>
      </c>
      <c r="E44" s="4">
        <v>281308021</v>
      </c>
      <c r="F44">
        <v>4.91</v>
      </c>
      <c r="G44">
        <v>5.34</v>
      </c>
      <c r="I44" s="9"/>
    </row>
    <row r="45" spans="1:9" x14ac:dyDescent="0.4">
      <c r="A45" s="2">
        <v>37499</v>
      </c>
      <c r="B45" s="3">
        <v>736.4</v>
      </c>
      <c r="C45" s="3">
        <v>1.7</v>
      </c>
      <c r="D45" s="3">
        <v>30.48</v>
      </c>
      <c r="E45" s="4">
        <v>289751127</v>
      </c>
      <c r="F45">
        <v>4.8</v>
      </c>
      <c r="G45">
        <v>5.04</v>
      </c>
      <c r="I45" s="9"/>
    </row>
    <row r="46" spans="1:9" x14ac:dyDescent="0.4">
      <c r="A46" s="5">
        <v>37529</v>
      </c>
      <c r="B46" s="6">
        <v>646.41999999999996</v>
      </c>
      <c r="C46" s="6">
        <v>-12.22</v>
      </c>
      <c r="D46" s="6">
        <v>34.76</v>
      </c>
      <c r="E46" s="7">
        <v>255535519</v>
      </c>
      <c r="F46">
        <v>4.8099999999999996</v>
      </c>
      <c r="G46">
        <v>5.03</v>
      </c>
      <c r="I46" s="9"/>
    </row>
    <row r="47" spans="1:9" x14ac:dyDescent="0.4">
      <c r="A47" s="2">
        <v>37560</v>
      </c>
      <c r="B47" s="3">
        <v>658.92</v>
      </c>
      <c r="C47" s="3">
        <v>1.93</v>
      </c>
      <c r="D47" s="3">
        <v>22.52</v>
      </c>
      <c r="E47" s="4">
        <v>261209882</v>
      </c>
      <c r="F47">
        <v>4.91</v>
      </c>
      <c r="G47">
        <v>5.14</v>
      </c>
      <c r="I47" s="9"/>
    </row>
    <row r="48" spans="1:9" x14ac:dyDescent="0.4">
      <c r="A48" s="2">
        <v>37590</v>
      </c>
      <c r="B48" s="3">
        <v>724.8</v>
      </c>
      <c r="C48" s="3">
        <v>7.67</v>
      </c>
      <c r="D48" s="3">
        <v>15.26</v>
      </c>
      <c r="E48" s="4">
        <v>287990689</v>
      </c>
      <c r="F48">
        <v>4.91</v>
      </c>
      <c r="G48">
        <v>5.04</v>
      </c>
      <c r="I48" s="9"/>
    </row>
    <row r="49" spans="1:10" x14ac:dyDescent="0.4">
      <c r="A49" s="2">
        <v>37621</v>
      </c>
      <c r="B49" s="3">
        <v>627.54999999999995</v>
      </c>
      <c r="C49" s="3">
        <v>-13.42</v>
      </c>
      <c r="D49" s="3">
        <v>-9.5399999999999991</v>
      </c>
      <c r="E49" s="4">
        <v>251307155</v>
      </c>
      <c r="F49">
        <v>4.9000000000000004</v>
      </c>
      <c r="G49">
        <v>5.03</v>
      </c>
      <c r="I49" s="9"/>
    </row>
    <row r="50" spans="1:10" x14ac:dyDescent="0.4">
      <c r="A50" s="2">
        <v>37652</v>
      </c>
      <c r="B50" s="3">
        <v>591.86</v>
      </c>
      <c r="C50" s="3">
        <v>-5.69</v>
      </c>
      <c r="D50" s="3">
        <v>-21.03</v>
      </c>
      <c r="E50" s="4">
        <v>235876528</v>
      </c>
      <c r="F50">
        <v>4.7</v>
      </c>
      <c r="G50">
        <v>4.79</v>
      </c>
      <c r="I50" s="9"/>
    </row>
    <row r="51" spans="1:10" x14ac:dyDescent="0.4">
      <c r="A51" s="5">
        <v>37680</v>
      </c>
      <c r="B51" s="6">
        <v>575.42999999999995</v>
      </c>
      <c r="C51" s="6">
        <v>-4.18</v>
      </c>
      <c r="D51" s="6">
        <v>-29.82</v>
      </c>
      <c r="E51" s="7">
        <v>229434797</v>
      </c>
      <c r="F51">
        <v>4.54</v>
      </c>
      <c r="G51">
        <v>4.63</v>
      </c>
      <c r="I51" s="9"/>
    </row>
    <row r="52" spans="1:10" x14ac:dyDescent="0.4">
      <c r="A52" s="2">
        <v>37711</v>
      </c>
      <c r="B52" s="3">
        <v>535.70000000000005</v>
      </c>
      <c r="C52" s="3">
        <v>-6.9</v>
      </c>
      <c r="D52" s="3">
        <v>-40.18</v>
      </c>
      <c r="E52" s="4">
        <v>214218540</v>
      </c>
      <c r="F52">
        <v>4.76</v>
      </c>
      <c r="G52">
        <v>4.71</v>
      </c>
      <c r="I52" s="9"/>
    </row>
    <row r="53" spans="1:10" x14ac:dyDescent="0.4">
      <c r="A53" s="2">
        <v>37741</v>
      </c>
      <c r="B53" s="3">
        <v>599.35</v>
      </c>
      <c r="C53" s="3">
        <v>7.73</v>
      </c>
      <c r="D53" s="3">
        <v>-28.85</v>
      </c>
      <c r="E53" s="4">
        <v>240621818</v>
      </c>
      <c r="F53">
        <v>4.62</v>
      </c>
      <c r="G53">
        <v>4.5999999999999996</v>
      </c>
      <c r="I53" s="9"/>
    </row>
    <row r="54" spans="1:10" x14ac:dyDescent="0.4">
      <c r="A54" s="2">
        <v>37772</v>
      </c>
      <c r="B54" s="3">
        <v>633.41999999999996</v>
      </c>
      <c r="C54" s="3">
        <v>5.68</v>
      </c>
      <c r="D54" s="3">
        <v>-22.34</v>
      </c>
      <c r="E54" s="4">
        <v>254665263</v>
      </c>
      <c r="F54">
        <v>4.3899999999999997</v>
      </c>
      <c r="G54">
        <v>4.3</v>
      </c>
      <c r="I54" s="9"/>
    </row>
    <row r="55" spans="1:10" x14ac:dyDescent="0.4">
      <c r="A55" s="2">
        <v>37802</v>
      </c>
      <c r="B55" s="3">
        <v>669.93</v>
      </c>
      <c r="C55" s="3">
        <v>5.76</v>
      </c>
      <c r="D55" s="3">
        <v>-9.8000000000000007</v>
      </c>
      <c r="E55" s="4">
        <v>270766319</v>
      </c>
      <c r="F55">
        <v>4.28</v>
      </c>
      <c r="G55">
        <v>4.29</v>
      </c>
      <c r="I55" s="9"/>
    </row>
    <row r="56" spans="1:10" x14ac:dyDescent="0.4">
      <c r="A56" s="5">
        <v>37833</v>
      </c>
      <c r="B56" s="6">
        <v>713.52</v>
      </c>
      <c r="C56" s="6">
        <v>6.51</v>
      </c>
      <c r="D56" s="6">
        <v>-0.62</v>
      </c>
      <c r="E56" s="7">
        <v>288700562</v>
      </c>
      <c r="F56">
        <v>4.1500000000000004</v>
      </c>
      <c r="G56">
        <v>4.2699999999999996</v>
      </c>
      <c r="I56" s="9"/>
    </row>
    <row r="57" spans="1:10" x14ac:dyDescent="0.4">
      <c r="A57" s="2">
        <v>37864</v>
      </c>
      <c r="B57" s="3">
        <v>759.47</v>
      </c>
      <c r="C57" s="3">
        <v>5.14</v>
      </c>
      <c r="D57" s="3">
        <v>4.76</v>
      </c>
      <c r="E57" s="4">
        <v>307356455</v>
      </c>
      <c r="F57">
        <v>3.9</v>
      </c>
      <c r="G57">
        <v>4.16</v>
      </c>
      <c r="I57" s="9"/>
    </row>
    <row r="58" spans="1:10" x14ac:dyDescent="0.4">
      <c r="A58" s="2">
        <v>37894</v>
      </c>
      <c r="B58" s="3">
        <v>697.52</v>
      </c>
      <c r="C58" s="3">
        <v>-8.16</v>
      </c>
      <c r="D58" s="3">
        <v>7.91</v>
      </c>
      <c r="E58" s="4">
        <v>285836994</v>
      </c>
      <c r="F58">
        <v>3.83</v>
      </c>
      <c r="G58">
        <v>4.08</v>
      </c>
      <c r="I58" s="9"/>
    </row>
    <row r="59" spans="1:10" x14ac:dyDescent="0.4">
      <c r="A59" s="2">
        <v>37925</v>
      </c>
      <c r="B59" s="3">
        <v>782.36</v>
      </c>
      <c r="C59" s="3">
        <v>12.16</v>
      </c>
      <c r="D59" s="3">
        <v>18.73</v>
      </c>
      <c r="E59" s="4">
        <v>321218758</v>
      </c>
      <c r="F59">
        <v>3.93</v>
      </c>
      <c r="G59">
        <v>4.1100000000000003</v>
      </c>
      <c r="I59" s="9"/>
    </row>
    <row r="60" spans="1:10" x14ac:dyDescent="0.4">
      <c r="A60" s="2">
        <v>37955</v>
      </c>
      <c r="B60" s="3">
        <v>796.18</v>
      </c>
      <c r="C60" s="3">
        <v>2.69</v>
      </c>
      <c r="D60" s="3">
        <v>11.43</v>
      </c>
      <c r="E60" s="4">
        <v>334574680</v>
      </c>
      <c r="F60">
        <v>4.2300000000000004</v>
      </c>
      <c r="G60">
        <v>4.47</v>
      </c>
      <c r="I60" s="9"/>
    </row>
    <row r="61" spans="1:10" x14ac:dyDescent="0.4">
      <c r="A61" s="5">
        <v>37986</v>
      </c>
      <c r="B61" s="6">
        <v>810.71</v>
      </c>
      <c r="C61" s="6">
        <v>1.82</v>
      </c>
      <c r="D61" s="6">
        <v>29.19</v>
      </c>
      <c r="E61" s="7">
        <v>345074784</v>
      </c>
      <c r="F61">
        <v>4.34</v>
      </c>
      <c r="G61">
        <v>4.68</v>
      </c>
      <c r="I61" s="9"/>
    </row>
    <row r="62" spans="1:10" x14ac:dyDescent="0.4">
      <c r="A62" s="2">
        <v>38017</v>
      </c>
      <c r="B62" s="3">
        <v>848.5</v>
      </c>
      <c r="C62" s="3">
        <v>4.66</v>
      </c>
      <c r="D62" s="3">
        <v>43.36</v>
      </c>
      <c r="E62" s="4">
        <v>361698226</v>
      </c>
      <c r="F62">
        <v>4.26</v>
      </c>
      <c r="G62">
        <v>4.5999999999999996</v>
      </c>
      <c r="H62">
        <v>1.99</v>
      </c>
      <c r="I62" s="9">
        <f>C62+H62</f>
        <v>6.65</v>
      </c>
      <c r="J62" s="9">
        <f>I62-C62</f>
        <v>1.9900000000000002</v>
      </c>
    </row>
    <row r="63" spans="1:10" x14ac:dyDescent="0.4">
      <c r="A63" s="2">
        <v>38046</v>
      </c>
      <c r="B63" s="3">
        <v>883.42</v>
      </c>
      <c r="C63" s="3">
        <v>2.36</v>
      </c>
      <c r="D63" s="3">
        <v>51.67</v>
      </c>
      <c r="E63" s="4">
        <v>376210793</v>
      </c>
      <c r="F63">
        <v>4.08</v>
      </c>
      <c r="G63">
        <v>4.43</v>
      </c>
      <c r="H63">
        <v>1.99</v>
      </c>
      <c r="I63" s="9">
        <f>C63+H63</f>
        <v>4.3499999999999996</v>
      </c>
      <c r="J63" s="9">
        <f>I63-C63</f>
        <v>1.9899999999999998</v>
      </c>
    </row>
    <row r="64" spans="1:10" x14ac:dyDescent="0.4">
      <c r="A64" s="2">
        <v>38077</v>
      </c>
      <c r="B64" s="3">
        <v>880.5</v>
      </c>
      <c r="C64" s="3">
        <v>-0.33</v>
      </c>
      <c r="D64" s="3">
        <v>64.36</v>
      </c>
      <c r="E64" s="4">
        <v>375099309</v>
      </c>
      <c r="F64">
        <v>3.93</v>
      </c>
      <c r="G64">
        <v>4.26</v>
      </c>
      <c r="H64">
        <v>1.83</v>
      </c>
      <c r="I64" s="9">
        <f>C64+H64</f>
        <v>1.5</v>
      </c>
      <c r="J64" s="9">
        <f>I64-C64</f>
        <v>1.83</v>
      </c>
    </row>
    <row r="65" spans="1:10" x14ac:dyDescent="0.4">
      <c r="A65" s="2">
        <v>38107</v>
      </c>
      <c r="B65" s="3">
        <v>862.84</v>
      </c>
      <c r="C65" s="3">
        <v>-1.22</v>
      </c>
      <c r="D65" s="3">
        <v>43.96</v>
      </c>
      <c r="E65" s="4">
        <v>371839367</v>
      </c>
      <c r="F65">
        <v>3.91</v>
      </c>
      <c r="G65">
        <v>4.1399999999999997</v>
      </c>
      <c r="H65">
        <v>2.21</v>
      </c>
      <c r="I65" s="9">
        <f>C65+H65</f>
        <v>0.99</v>
      </c>
      <c r="J65" s="9">
        <f>I65-C65</f>
        <v>2.21</v>
      </c>
    </row>
    <row r="66" spans="1:10" x14ac:dyDescent="0.4">
      <c r="A66" s="5">
        <v>38138</v>
      </c>
      <c r="B66" s="6">
        <v>803.84</v>
      </c>
      <c r="C66" s="6">
        <v>-6.84</v>
      </c>
      <c r="D66" s="6">
        <v>26.9</v>
      </c>
      <c r="E66" s="7">
        <v>345035271</v>
      </c>
      <c r="F66">
        <v>3.9</v>
      </c>
      <c r="G66">
        <v>4.08</v>
      </c>
      <c r="H66">
        <v>2.39</v>
      </c>
      <c r="I66" s="9">
        <f>C66+H66</f>
        <v>-4.4499999999999993</v>
      </c>
      <c r="J66" s="9">
        <f>I66-C66</f>
        <v>2.3900000000000006</v>
      </c>
    </row>
    <row r="67" spans="1:10" x14ac:dyDescent="0.4">
      <c r="A67" s="2">
        <v>38168</v>
      </c>
      <c r="B67" s="3">
        <v>785.79</v>
      </c>
      <c r="C67" s="3">
        <v>-3.76</v>
      </c>
      <c r="D67" s="3">
        <v>17.29</v>
      </c>
      <c r="E67" s="4">
        <v>337386355</v>
      </c>
      <c r="F67">
        <v>3.91</v>
      </c>
      <c r="G67">
        <v>4.13</v>
      </c>
      <c r="H67">
        <v>2.42</v>
      </c>
      <c r="I67" s="9">
        <f>C67+H67</f>
        <v>-1.3399999999999999</v>
      </c>
      <c r="J67" s="9">
        <f>I67-C67</f>
        <v>2.42</v>
      </c>
    </row>
    <row r="68" spans="1:10" x14ac:dyDescent="0.4">
      <c r="A68" s="2">
        <v>38199</v>
      </c>
      <c r="B68" s="3">
        <v>735.34</v>
      </c>
      <c r="C68" s="3">
        <v>-6.42</v>
      </c>
      <c r="D68" s="3">
        <v>2.97</v>
      </c>
      <c r="E68" s="4">
        <v>322080415</v>
      </c>
      <c r="F68">
        <v>3.91</v>
      </c>
      <c r="G68">
        <v>4.0599999999999996</v>
      </c>
      <c r="H68">
        <v>2.52</v>
      </c>
      <c r="I68" s="9">
        <f>C68+H68</f>
        <v>-3.9</v>
      </c>
      <c r="J68" s="9">
        <f>I68-C68</f>
        <v>2.52</v>
      </c>
    </row>
    <row r="69" spans="1:10" x14ac:dyDescent="0.4">
      <c r="A69" s="2">
        <v>38230</v>
      </c>
      <c r="B69" s="3">
        <v>803.57</v>
      </c>
      <c r="C69" s="3">
        <v>9.2799999999999994</v>
      </c>
      <c r="D69" s="3">
        <v>5.81</v>
      </c>
      <c r="E69" s="4">
        <v>356847451</v>
      </c>
      <c r="F69">
        <v>3.7</v>
      </c>
      <c r="G69">
        <v>3.73</v>
      </c>
      <c r="H69">
        <v>2.33</v>
      </c>
      <c r="I69" s="9">
        <f>C69+H69</f>
        <v>11.61</v>
      </c>
      <c r="J69" s="9">
        <f>I69-C69</f>
        <v>2.33</v>
      </c>
    </row>
    <row r="70" spans="1:10" x14ac:dyDescent="0.4">
      <c r="A70" s="2">
        <v>38260</v>
      </c>
      <c r="B70" s="3">
        <v>835.09</v>
      </c>
      <c r="C70" s="3">
        <v>3.71</v>
      </c>
      <c r="D70" s="3">
        <v>19.72</v>
      </c>
      <c r="E70" s="4">
        <v>371058345</v>
      </c>
      <c r="F70">
        <v>3.52</v>
      </c>
      <c r="G70">
        <v>3.51</v>
      </c>
      <c r="H70">
        <v>2.2200000000000002</v>
      </c>
      <c r="I70" s="9">
        <f>C70+H70</f>
        <v>5.93</v>
      </c>
      <c r="J70" s="9">
        <f>I70-C70</f>
        <v>2.2199999999999998</v>
      </c>
    </row>
    <row r="71" spans="1:10" x14ac:dyDescent="0.4">
      <c r="A71" s="5">
        <v>38291</v>
      </c>
      <c r="B71" s="6">
        <v>834.84</v>
      </c>
      <c r="C71" s="6">
        <v>0.33</v>
      </c>
      <c r="D71" s="6">
        <v>7.08</v>
      </c>
      <c r="E71" s="7">
        <v>371730008</v>
      </c>
      <c r="F71">
        <v>3.52</v>
      </c>
      <c r="G71">
        <v>3.47</v>
      </c>
      <c r="H71">
        <v>2.2200000000000002</v>
      </c>
      <c r="I71" s="9">
        <f>C71+H71</f>
        <v>2.5500000000000003</v>
      </c>
      <c r="J71" s="9">
        <f>I71-C71</f>
        <v>2.2200000000000002</v>
      </c>
    </row>
    <row r="72" spans="1:10" x14ac:dyDescent="0.4">
      <c r="A72" s="2">
        <v>38321</v>
      </c>
      <c r="B72" s="3">
        <v>878.06</v>
      </c>
      <c r="C72" s="3">
        <v>5.18</v>
      </c>
      <c r="D72" s="3">
        <v>10.28</v>
      </c>
      <c r="E72" s="4">
        <v>390560920</v>
      </c>
      <c r="F72">
        <v>3.42</v>
      </c>
      <c r="G72">
        <v>3.34</v>
      </c>
      <c r="H72">
        <v>2.1</v>
      </c>
      <c r="I72" s="9">
        <f>C72+H72</f>
        <v>7.2799999999999994</v>
      </c>
      <c r="J72" s="9">
        <f>I72-C72</f>
        <v>2.0999999999999996</v>
      </c>
    </row>
    <row r="73" spans="1:10" x14ac:dyDescent="0.4">
      <c r="A73" s="2">
        <v>38352</v>
      </c>
      <c r="B73" s="3">
        <v>895.92</v>
      </c>
      <c r="C73" s="3">
        <v>2.0299999999999998</v>
      </c>
      <c r="D73" s="3">
        <v>10.51</v>
      </c>
      <c r="E73" s="4">
        <v>400591702</v>
      </c>
      <c r="F73">
        <v>3.39</v>
      </c>
      <c r="G73">
        <v>3.29</v>
      </c>
      <c r="H73">
        <v>2.06</v>
      </c>
      <c r="I73" s="9">
        <f>C73+H73</f>
        <v>4.09</v>
      </c>
      <c r="J73" s="9">
        <f>I73-C73</f>
        <v>2.06</v>
      </c>
    </row>
    <row r="74" spans="1:10" x14ac:dyDescent="0.4">
      <c r="A74" s="2">
        <v>38383</v>
      </c>
      <c r="B74" s="3">
        <v>932.7</v>
      </c>
      <c r="C74" s="3">
        <v>4.1100000000000003</v>
      </c>
      <c r="D74" s="3">
        <v>9.92</v>
      </c>
      <c r="E74" s="4">
        <v>417776537</v>
      </c>
      <c r="F74">
        <v>3.47</v>
      </c>
      <c r="G74">
        <v>3.48</v>
      </c>
      <c r="H74">
        <v>1.95</v>
      </c>
      <c r="I74" s="9">
        <f>C74+H74</f>
        <v>6.0600000000000005</v>
      </c>
      <c r="J74" s="9">
        <f>I74-C74</f>
        <v>1.9500000000000002</v>
      </c>
    </row>
    <row r="75" spans="1:10" x14ac:dyDescent="0.4">
      <c r="A75" s="2">
        <v>38411</v>
      </c>
      <c r="B75" s="3">
        <v>1011.36</v>
      </c>
      <c r="C75" s="3">
        <v>9.74</v>
      </c>
      <c r="D75" s="3">
        <v>14.48</v>
      </c>
      <c r="E75" s="4">
        <v>455203870</v>
      </c>
      <c r="F75">
        <v>3.59</v>
      </c>
      <c r="G75">
        <v>3.86</v>
      </c>
      <c r="H75">
        <v>1.79</v>
      </c>
      <c r="I75" s="9">
        <f>C75+H75</f>
        <v>11.530000000000001</v>
      </c>
      <c r="J75" s="9">
        <f>I75-C75</f>
        <v>1.7900000000000009</v>
      </c>
    </row>
    <row r="76" spans="1:10" x14ac:dyDescent="0.4">
      <c r="A76" s="5">
        <v>38442</v>
      </c>
      <c r="B76" s="6">
        <v>965.68</v>
      </c>
      <c r="C76" s="6">
        <v>-4.5199999999999996</v>
      </c>
      <c r="D76" s="6">
        <v>9.67</v>
      </c>
      <c r="E76" s="7">
        <v>435098894</v>
      </c>
      <c r="F76">
        <v>3.55</v>
      </c>
      <c r="G76">
        <v>3.82</v>
      </c>
      <c r="H76">
        <v>1.86</v>
      </c>
      <c r="I76" s="9">
        <f>C76+H76</f>
        <v>-2.6599999999999993</v>
      </c>
      <c r="J76" s="9">
        <f>I76-C76</f>
        <v>1.8600000000000003</v>
      </c>
    </row>
    <row r="77" spans="1:10" x14ac:dyDescent="0.4">
      <c r="A77" s="2">
        <v>38472</v>
      </c>
      <c r="B77" s="3">
        <v>911.3</v>
      </c>
      <c r="C77" s="3">
        <v>-4.97</v>
      </c>
      <c r="D77" s="3">
        <v>4.0999999999999996</v>
      </c>
      <c r="E77" s="4">
        <v>409984955</v>
      </c>
      <c r="F77">
        <v>3.52</v>
      </c>
      <c r="G77">
        <v>3.72</v>
      </c>
      <c r="H77">
        <v>2.71</v>
      </c>
      <c r="I77" s="9">
        <f>C77+H77</f>
        <v>-2.2599999999999998</v>
      </c>
      <c r="J77" s="9">
        <f>I77-C77</f>
        <v>2.71</v>
      </c>
    </row>
    <row r="78" spans="1:10" x14ac:dyDescent="0.4">
      <c r="A78" s="2">
        <v>38503</v>
      </c>
      <c r="B78" s="3">
        <v>970.21</v>
      </c>
      <c r="C78" s="3">
        <v>6.46</v>
      </c>
      <c r="D78" s="3">
        <v>20.7</v>
      </c>
      <c r="E78" s="4">
        <v>437253458</v>
      </c>
      <c r="F78">
        <v>3.51</v>
      </c>
      <c r="G78">
        <v>3.6</v>
      </c>
      <c r="H78">
        <v>2.54</v>
      </c>
      <c r="I78" s="9">
        <f>C78+H78</f>
        <v>9</v>
      </c>
      <c r="J78" s="9">
        <f>I78-C78</f>
        <v>2.54</v>
      </c>
    </row>
    <row r="79" spans="1:10" x14ac:dyDescent="0.4">
      <c r="A79" s="2">
        <v>38533</v>
      </c>
      <c r="B79" s="3">
        <v>1008.16</v>
      </c>
      <c r="C79" s="3">
        <v>4.04</v>
      </c>
      <c r="D79" s="3">
        <v>28.3</v>
      </c>
      <c r="E79" s="4">
        <v>454198512</v>
      </c>
      <c r="F79">
        <v>3.51</v>
      </c>
      <c r="G79">
        <v>3.66</v>
      </c>
      <c r="H79">
        <v>2.4500000000000002</v>
      </c>
      <c r="I79" s="9">
        <f>C79+H79</f>
        <v>6.49</v>
      </c>
      <c r="J79" s="9">
        <f>I79-C79</f>
        <v>2.4500000000000002</v>
      </c>
    </row>
    <row r="80" spans="1:10" x14ac:dyDescent="0.4">
      <c r="A80" s="2">
        <v>38564</v>
      </c>
      <c r="B80" s="3">
        <v>1111.29</v>
      </c>
      <c r="C80" s="3">
        <v>11.23</v>
      </c>
      <c r="D80" s="3">
        <v>52.1</v>
      </c>
      <c r="E80" s="4">
        <v>502373668</v>
      </c>
      <c r="F80">
        <v>3.51</v>
      </c>
      <c r="G80">
        <v>3.76</v>
      </c>
      <c r="H80">
        <v>2.2200000000000002</v>
      </c>
      <c r="I80" s="9">
        <f>C80+H80</f>
        <v>13.450000000000001</v>
      </c>
      <c r="J80" s="9">
        <f>I80-C80</f>
        <v>2.2200000000000006</v>
      </c>
    </row>
    <row r="81" spans="1:10" x14ac:dyDescent="0.4">
      <c r="A81" s="5">
        <v>38595</v>
      </c>
      <c r="B81" s="6">
        <v>1083.33</v>
      </c>
      <c r="C81" s="6">
        <v>-2.52</v>
      </c>
      <c r="D81" s="6">
        <v>34.81</v>
      </c>
      <c r="E81" s="7">
        <v>490001826</v>
      </c>
      <c r="F81">
        <v>3.5</v>
      </c>
      <c r="G81">
        <v>3.87</v>
      </c>
      <c r="H81">
        <v>2.27</v>
      </c>
      <c r="I81" s="9">
        <f>C81+H81</f>
        <v>-0.25</v>
      </c>
      <c r="J81" s="9">
        <f>I81-C81</f>
        <v>2.27</v>
      </c>
    </row>
    <row r="82" spans="1:10" x14ac:dyDescent="0.4">
      <c r="A82" s="2">
        <v>38625</v>
      </c>
      <c r="B82" s="3">
        <v>1221.01</v>
      </c>
      <c r="C82" s="3">
        <v>13.84</v>
      </c>
      <c r="D82" s="3">
        <v>46.21</v>
      </c>
      <c r="E82" s="4">
        <v>552485574</v>
      </c>
      <c r="F82">
        <v>3.7</v>
      </c>
      <c r="G82">
        <v>4.1900000000000004</v>
      </c>
      <c r="H82">
        <v>2.02</v>
      </c>
      <c r="I82" s="9">
        <f>C82+H82</f>
        <v>15.86</v>
      </c>
      <c r="J82" s="9">
        <f>I82-C82</f>
        <v>2.0199999999999996</v>
      </c>
    </row>
    <row r="83" spans="1:10" x14ac:dyDescent="0.4">
      <c r="A83" s="2">
        <v>38656</v>
      </c>
      <c r="B83" s="3">
        <v>1158.1099999999999</v>
      </c>
      <c r="C83" s="3">
        <v>-5.15</v>
      </c>
      <c r="D83" s="3">
        <v>38.72</v>
      </c>
      <c r="E83" s="4">
        <v>524808274</v>
      </c>
      <c r="F83">
        <v>3.93</v>
      </c>
      <c r="G83">
        <v>4.43</v>
      </c>
      <c r="H83">
        <v>2.13</v>
      </c>
      <c r="I83" s="9">
        <f>C83+H83</f>
        <v>-3.0200000000000005</v>
      </c>
      <c r="J83" s="9">
        <f>I83-C83</f>
        <v>2.13</v>
      </c>
    </row>
    <row r="84" spans="1:10" x14ac:dyDescent="0.4">
      <c r="A84" s="2">
        <v>38686</v>
      </c>
      <c r="B84" s="3">
        <v>1297.44</v>
      </c>
      <c r="C84" s="3">
        <v>13.74</v>
      </c>
      <c r="D84" s="3">
        <v>47.76</v>
      </c>
      <c r="E84" s="4">
        <v>588642350</v>
      </c>
      <c r="F84">
        <v>3.96</v>
      </c>
      <c r="G84">
        <v>4.58</v>
      </c>
      <c r="H84">
        <v>1.89</v>
      </c>
      <c r="I84" s="9">
        <f>C84+H84</f>
        <v>15.63</v>
      </c>
      <c r="J84" s="9">
        <f>I84-C84</f>
        <v>1.8900000000000006</v>
      </c>
    </row>
    <row r="85" spans="1:10" x14ac:dyDescent="0.4">
      <c r="A85" s="2">
        <v>38717</v>
      </c>
      <c r="B85" s="3">
        <v>1379.37</v>
      </c>
      <c r="C85" s="3">
        <v>7.82</v>
      </c>
      <c r="D85" s="3">
        <v>55.99</v>
      </c>
      <c r="E85" s="4">
        <v>633429077</v>
      </c>
      <c r="F85">
        <v>4.04</v>
      </c>
      <c r="G85">
        <v>4.66</v>
      </c>
      <c r="H85">
        <v>1.74</v>
      </c>
      <c r="I85" s="9">
        <f>C85+H85</f>
        <v>9.56</v>
      </c>
      <c r="J85" s="9">
        <f>I85-C85</f>
        <v>1.7400000000000002</v>
      </c>
    </row>
    <row r="86" spans="1:10" x14ac:dyDescent="0.4">
      <c r="A86" s="5">
        <v>38748</v>
      </c>
      <c r="B86" s="6">
        <v>1399.83</v>
      </c>
      <c r="C86" s="6">
        <v>1.48</v>
      </c>
      <c r="D86" s="6">
        <v>50.08</v>
      </c>
      <c r="E86" s="7">
        <v>643695771</v>
      </c>
      <c r="F86">
        <v>4.1500000000000004</v>
      </c>
      <c r="G86">
        <v>4.6100000000000003</v>
      </c>
      <c r="H86">
        <v>1.72</v>
      </c>
      <c r="I86" s="9">
        <f>C86+H86</f>
        <v>3.2</v>
      </c>
      <c r="J86" s="9">
        <f>I86-C86</f>
        <v>1.7200000000000002</v>
      </c>
    </row>
    <row r="87" spans="1:10" x14ac:dyDescent="0.4">
      <c r="A87" s="2">
        <v>38776</v>
      </c>
      <c r="B87" s="3">
        <v>1371.59</v>
      </c>
      <c r="C87" s="3">
        <v>-0.94</v>
      </c>
      <c r="D87" s="3">
        <v>35.619999999999997</v>
      </c>
      <c r="E87" s="4">
        <v>645781792</v>
      </c>
      <c r="F87">
        <v>4.25</v>
      </c>
      <c r="G87">
        <v>4.5599999999999996</v>
      </c>
      <c r="H87">
        <v>1.72</v>
      </c>
      <c r="I87" s="9">
        <f>C87+H87</f>
        <v>0.78</v>
      </c>
      <c r="J87" s="9">
        <f>I87-C87</f>
        <v>1.72</v>
      </c>
    </row>
    <row r="88" spans="1:10" x14ac:dyDescent="0.4">
      <c r="A88" s="2">
        <v>38807</v>
      </c>
      <c r="B88" s="3">
        <v>1359.6</v>
      </c>
      <c r="C88" s="3">
        <v>-0.87</v>
      </c>
      <c r="D88" s="3">
        <v>40.79</v>
      </c>
      <c r="E88" s="4">
        <v>640636694</v>
      </c>
      <c r="F88">
        <v>4.2699999999999996</v>
      </c>
      <c r="G88">
        <v>4.57</v>
      </c>
      <c r="H88">
        <v>1.73</v>
      </c>
      <c r="I88" s="9">
        <f>C88+H88</f>
        <v>0.86</v>
      </c>
      <c r="J88" s="9">
        <f>I88-C88</f>
        <v>1.73</v>
      </c>
    </row>
    <row r="89" spans="1:10" x14ac:dyDescent="0.4">
      <c r="A89" s="2">
        <v>38837</v>
      </c>
      <c r="B89" s="3">
        <v>1419.73</v>
      </c>
      <c r="C89" s="3">
        <v>6.64</v>
      </c>
      <c r="D89" s="3">
        <v>54.7</v>
      </c>
      <c r="E89" s="4">
        <v>670158417</v>
      </c>
      <c r="F89">
        <v>4.33</v>
      </c>
      <c r="G89">
        <v>4.6100000000000003</v>
      </c>
      <c r="H89">
        <v>1.61</v>
      </c>
      <c r="I89" s="9">
        <f>C89+H89</f>
        <v>8.25</v>
      </c>
      <c r="J89" s="9">
        <f>I89-C89</f>
        <v>1.6100000000000003</v>
      </c>
    </row>
    <row r="90" spans="1:10" x14ac:dyDescent="0.4">
      <c r="A90" s="2">
        <v>38868</v>
      </c>
      <c r="B90" s="3">
        <v>1317.7</v>
      </c>
      <c r="C90" s="3">
        <v>-7.19</v>
      </c>
      <c r="D90" s="3">
        <v>35.979999999999997</v>
      </c>
      <c r="E90" s="4">
        <v>622707130</v>
      </c>
      <c r="F90">
        <v>4.3600000000000003</v>
      </c>
      <c r="G90">
        <v>4.59</v>
      </c>
      <c r="H90">
        <v>1.73</v>
      </c>
      <c r="I90" s="9">
        <f>C90+H90</f>
        <v>-5.4600000000000009</v>
      </c>
      <c r="J90" s="9">
        <f>I90-C90</f>
        <v>1.7299999999999995</v>
      </c>
    </row>
    <row r="91" spans="1:10" x14ac:dyDescent="0.4">
      <c r="A91" s="5">
        <v>38898</v>
      </c>
      <c r="B91" s="6">
        <v>1295.1500000000001</v>
      </c>
      <c r="C91" s="6">
        <v>-1.71</v>
      </c>
      <c r="D91" s="6">
        <v>28.47</v>
      </c>
      <c r="E91" s="7">
        <v>613768313</v>
      </c>
      <c r="F91">
        <v>4.47</v>
      </c>
      <c r="G91">
        <v>4.7</v>
      </c>
      <c r="H91">
        <v>1.76</v>
      </c>
      <c r="I91" s="9">
        <f>C91+H91</f>
        <v>5.0000000000000044E-2</v>
      </c>
      <c r="J91" s="9">
        <f>I91-C91</f>
        <v>1.76</v>
      </c>
    </row>
    <row r="92" spans="1:10" x14ac:dyDescent="0.4">
      <c r="A92" s="2">
        <v>38929</v>
      </c>
      <c r="B92" s="3">
        <v>1297.82</v>
      </c>
      <c r="C92" s="3">
        <v>0.21</v>
      </c>
      <c r="D92" s="3">
        <v>16.78</v>
      </c>
      <c r="E92" s="4">
        <v>616362186</v>
      </c>
      <c r="F92">
        <v>4.63</v>
      </c>
      <c r="G92">
        <v>4.82</v>
      </c>
      <c r="H92">
        <v>1.84</v>
      </c>
      <c r="I92" s="9">
        <f>C92+H92</f>
        <v>2.0500000000000003</v>
      </c>
      <c r="J92" s="9">
        <f>I92-C92</f>
        <v>1.8400000000000003</v>
      </c>
    </row>
    <row r="93" spans="1:10" x14ac:dyDescent="0.4">
      <c r="A93" s="2">
        <v>38960</v>
      </c>
      <c r="B93" s="3">
        <v>1352.74</v>
      </c>
      <c r="C93" s="3">
        <v>4.2300000000000004</v>
      </c>
      <c r="D93" s="3">
        <v>24.87</v>
      </c>
      <c r="E93" s="4">
        <v>643631001</v>
      </c>
      <c r="F93">
        <v>4.68</v>
      </c>
      <c r="G93">
        <v>4.76</v>
      </c>
      <c r="H93">
        <v>1.76</v>
      </c>
      <c r="I93" s="9">
        <f>C93+H93</f>
        <v>5.99</v>
      </c>
      <c r="J93" s="9">
        <f>I93-C93</f>
        <v>1.7599999999999998</v>
      </c>
    </row>
    <row r="94" spans="1:10" x14ac:dyDescent="0.4">
      <c r="A94" s="2">
        <v>38990</v>
      </c>
      <c r="B94" s="3">
        <v>1371.41</v>
      </c>
      <c r="C94" s="3">
        <v>1.99</v>
      </c>
      <c r="D94" s="3">
        <v>11.39</v>
      </c>
      <c r="E94" s="4">
        <v>652925839</v>
      </c>
      <c r="F94">
        <v>4.6399999999999997</v>
      </c>
      <c r="G94">
        <v>4.68</v>
      </c>
      <c r="H94">
        <v>1.74</v>
      </c>
      <c r="I94" s="9">
        <f>C94+H94</f>
        <v>3.73</v>
      </c>
      <c r="J94" s="9">
        <f>I94-C94</f>
        <v>1.74</v>
      </c>
    </row>
    <row r="95" spans="1:10" x14ac:dyDescent="0.4">
      <c r="A95" s="2">
        <v>39021</v>
      </c>
      <c r="B95" s="3">
        <v>1364.55</v>
      </c>
      <c r="C95" s="3">
        <v>-0.5</v>
      </c>
      <c r="D95" s="3">
        <v>17.829999999999998</v>
      </c>
      <c r="E95" s="4">
        <v>650140273</v>
      </c>
      <c r="F95">
        <v>4.57</v>
      </c>
      <c r="G95">
        <v>4.63</v>
      </c>
      <c r="H95">
        <v>1.74</v>
      </c>
      <c r="I95" s="9">
        <f>C95+H95</f>
        <v>1.24</v>
      </c>
      <c r="J95" s="9">
        <f>I95-C95</f>
        <v>1.74</v>
      </c>
    </row>
    <row r="96" spans="1:10" x14ac:dyDescent="0.4">
      <c r="A96" s="5">
        <v>39051</v>
      </c>
      <c r="B96" s="6">
        <v>1432.21</v>
      </c>
      <c r="C96" s="6">
        <v>5.61</v>
      </c>
      <c r="D96" s="6">
        <v>10.39</v>
      </c>
      <c r="E96" s="7">
        <v>682160691</v>
      </c>
      <c r="F96">
        <v>4.5999999999999996</v>
      </c>
      <c r="G96">
        <v>4.7</v>
      </c>
      <c r="H96">
        <v>1.66</v>
      </c>
      <c r="I96" s="9">
        <f>C96+H96</f>
        <v>7.2700000000000005</v>
      </c>
      <c r="J96" s="9">
        <f>I96-C96</f>
        <v>1.6600000000000001</v>
      </c>
    </row>
    <row r="97" spans="1:10" x14ac:dyDescent="0.4">
      <c r="A97" s="2">
        <v>39082</v>
      </c>
      <c r="B97" s="3">
        <v>1434.46</v>
      </c>
      <c r="C97" s="3">
        <v>1.63</v>
      </c>
      <c r="D97" s="3">
        <v>4.8499999999999996</v>
      </c>
      <c r="E97" s="4">
        <v>684261003</v>
      </c>
      <c r="F97">
        <v>4.76</v>
      </c>
      <c r="G97">
        <v>4.8499999999999996</v>
      </c>
      <c r="H97">
        <v>1.66</v>
      </c>
      <c r="I97" s="9">
        <f>C97+H97</f>
        <v>3.29</v>
      </c>
      <c r="J97" s="9">
        <f>I97-C97</f>
        <v>1.6600000000000001</v>
      </c>
    </row>
    <row r="98" spans="1:10" x14ac:dyDescent="0.4">
      <c r="A98" s="2">
        <v>39113</v>
      </c>
      <c r="B98" s="3">
        <v>1360.23</v>
      </c>
      <c r="C98" s="3">
        <v>-5.17</v>
      </c>
      <c r="D98" s="3">
        <v>-2.83</v>
      </c>
      <c r="E98" s="4">
        <v>649200328</v>
      </c>
      <c r="F98">
        <v>4.92</v>
      </c>
      <c r="G98">
        <v>4.9800000000000004</v>
      </c>
      <c r="H98">
        <v>1.75</v>
      </c>
      <c r="I98" s="9">
        <f>C98+H98</f>
        <v>-3.42</v>
      </c>
      <c r="J98" s="9">
        <f>I98-C98</f>
        <v>1.75</v>
      </c>
    </row>
    <row r="99" spans="1:10" x14ac:dyDescent="0.4">
      <c r="A99" s="2">
        <v>39141</v>
      </c>
      <c r="B99" s="3">
        <v>1417.34</v>
      </c>
      <c r="C99" s="3">
        <v>3.36</v>
      </c>
      <c r="D99" s="3">
        <v>3.34</v>
      </c>
      <c r="E99" s="4">
        <v>676959543</v>
      </c>
      <c r="F99">
        <v>4.95</v>
      </c>
      <c r="G99">
        <v>4.96</v>
      </c>
      <c r="H99">
        <v>1.68</v>
      </c>
      <c r="I99" s="9">
        <f>C99+H99</f>
        <v>5.04</v>
      </c>
      <c r="J99" s="9">
        <f>I99-C99</f>
        <v>1.6800000000000002</v>
      </c>
    </row>
    <row r="100" spans="1:10" x14ac:dyDescent="0.4">
      <c r="A100" s="2">
        <v>39172</v>
      </c>
      <c r="B100" s="3">
        <v>1452.55</v>
      </c>
      <c r="C100" s="3">
        <v>2.48</v>
      </c>
      <c r="D100" s="3">
        <v>8.5500000000000007</v>
      </c>
      <c r="E100" s="4">
        <v>694228659</v>
      </c>
      <c r="F100">
        <v>4.9400000000000004</v>
      </c>
      <c r="G100">
        <v>4.8899999999999997</v>
      </c>
      <c r="H100">
        <v>1.64</v>
      </c>
      <c r="I100" s="9">
        <f>C100+H100</f>
        <v>4.12</v>
      </c>
      <c r="J100" s="9">
        <f>I100-C100</f>
        <v>1.6400000000000001</v>
      </c>
    </row>
    <row r="101" spans="1:10" x14ac:dyDescent="0.4">
      <c r="A101" s="5">
        <v>39202</v>
      </c>
      <c r="B101" s="6">
        <v>1542.24</v>
      </c>
      <c r="C101" s="6">
        <v>6.17</v>
      </c>
      <c r="D101" s="6">
        <v>8.6300000000000008</v>
      </c>
      <c r="E101" s="7">
        <v>736901357</v>
      </c>
      <c r="F101">
        <v>4.95</v>
      </c>
      <c r="G101">
        <v>4.97</v>
      </c>
      <c r="H101">
        <v>1.78</v>
      </c>
      <c r="I101" s="9">
        <f>C101+H101</f>
        <v>7.95</v>
      </c>
      <c r="J101" s="9">
        <f>I101-C101</f>
        <v>1.7800000000000002</v>
      </c>
    </row>
    <row r="102" spans="1:10" x14ac:dyDescent="0.4">
      <c r="A102" s="2">
        <v>39233</v>
      </c>
      <c r="B102" s="3">
        <v>1700.91</v>
      </c>
      <c r="C102" s="3">
        <v>10.29</v>
      </c>
      <c r="D102" s="3">
        <v>29.08</v>
      </c>
      <c r="E102" s="4">
        <v>813305059</v>
      </c>
      <c r="F102">
        <v>5.04</v>
      </c>
      <c r="G102">
        <v>5.1100000000000003</v>
      </c>
      <c r="H102">
        <v>1.61</v>
      </c>
      <c r="I102" s="9">
        <f>C102+H102</f>
        <v>11.899999999999999</v>
      </c>
      <c r="J102" s="9">
        <f>I102-C102</f>
        <v>1.6099999999999994</v>
      </c>
    </row>
    <row r="103" spans="1:10" x14ac:dyDescent="0.4">
      <c r="A103" s="2">
        <v>39263</v>
      </c>
      <c r="B103" s="3">
        <v>1743.6</v>
      </c>
      <c r="C103" s="3">
        <v>4.92</v>
      </c>
      <c r="D103" s="3">
        <v>38.049999999999997</v>
      </c>
      <c r="E103" s="4">
        <v>840914496</v>
      </c>
      <c r="F103">
        <v>5.03</v>
      </c>
      <c r="G103">
        <v>5.15</v>
      </c>
      <c r="H103">
        <v>1.56</v>
      </c>
      <c r="I103" s="9">
        <f>C103+H103</f>
        <v>6.48</v>
      </c>
      <c r="J103" s="9">
        <f>I103-C103</f>
        <v>1.5600000000000005</v>
      </c>
    </row>
    <row r="104" spans="1:10" x14ac:dyDescent="0.4">
      <c r="A104" s="2">
        <v>39294</v>
      </c>
      <c r="B104" s="3">
        <v>1933.27</v>
      </c>
      <c r="C104" s="3">
        <v>10.88</v>
      </c>
      <c r="D104" s="3">
        <v>48.96</v>
      </c>
      <c r="E104" s="4">
        <v>937694721</v>
      </c>
      <c r="F104">
        <v>5.05</v>
      </c>
      <c r="G104">
        <v>5.29</v>
      </c>
      <c r="H104">
        <v>1.37</v>
      </c>
      <c r="I104" s="9">
        <f>C104+H104</f>
        <v>12.25</v>
      </c>
      <c r="J104" s="9">
        <f>I104-C104</f>
        <v>1.3699999999999992</v>
      </c>
    </row>
    <row r="105" spans="1:10" x14ac:dyDescent="0.4">
      <c r="A105" s="2">
        <v>39325</v>
      </c>
      <c r="B105" s="3">
        <v>1873.24</v>
      </c>
      <c r="C105" s="3">
        <v>-3.11</v>
      </c>
      <c r="D105" s="3">
        <v>38.479999999999997</v>
      </c>
      <c r="E105" s="4">
        <v>912254985</v>
      </c>
      <c r="F105">
        <v>5.21</v>
      </c>
      <c r="G105">
        <v>5.29</v>
      </c>
      <c r="H105">
        <v>1.41</v>
      </c>
      <c r="I105" s="9">
        <f>C105+H105</f>
        <v>-1.7</v>
      </c>
      <c r="J105" s="9">
        <f>I105-C105</f>
        <v>1.41</v>
      </c>
    </row>
    <row r="106" spans="1:10" x14ac:dyDescent="0.4">
      <c r="A106" s="5">
        <v>39355</v>
      </c>
      <c r="B106" s="6">
        <v>1946.48</v>
      </c>
      <c r="C106" s="6">
        <v>6.41</v>
      </c>
      <c r="D106" s="6">
        <v>41.93</v>
      </c>
      <c r="E106" s="7">
        <v>953891509</v>
      </c>
      <c r="F106">
        <v>5.34</v>
      </c>
      <c r="G106">
        <v>5.4</v>
      </c>
      <c r="H106">
        <v>1.35</v>
      </c>
      <c r="I106" s="9">
        <f>C106+H106</f>
        <v>7.76</v>
      </c>
      <c r="J106" s="9">
        <f>I106-C106</f>
        <v>1.3499999999999996</v>
      </c>
    </row>
    <row r="107" spans="1:10" x14ac:dyDescent="0.4">
      <c r="A107" s="2">
        <v>39386</v>
      </c>
      <c r="B107" s="3">
        <v>2064.85</v>
      </c>
      <c r="C107" s="3">
        <v>6.08</v>
      </c>
      <c r="D107" s="3">
        <v>51.32</v>
      </c>
      <c r="E107" s="4">
        <v>1009507570</v>
      </c>
      <c r="F107">
        <v>5.34</v>
      </c>
      <c r="G107">
        <v>5.4</v>
      </c>
      <c r="H107">
        <v>1.28</v>
      </c>
      <c r="I107" s="9">
        <f>C107+H107</f>
        <v>7.36</v>
      </c>
      <c r="J107" s="9">
        <f>I107-C107</f>
        <v>1.2800000000000002</v>
      </c>
    </row>
    <row r="108" spans="1:10" x14ac:dyDescent="0.4">
      <c r="A108" s="2">
        <v>39416</v>
      </c>
      <c r="B108" s="3">
        <v>1906</v>
      </c>
      <c r="C108" s="3">
        <v>-7.13</v>
      </c>
      <c r="D108" s="3">
        <v>33.08</v>
      </c>
      <c r="E108" s="4">
        <v>934559273</v>
      </c>
      <c r="F108">
        <v>5.43</v>
      </c>
      <c r="G108">
        <v>5.45</v>
      </c>
      <c r="H108">
        <v>1.38</v>
      </c>
      <c r="I108" s="9">
        <f>C108+H108</f>
        <v>-5.75</v>
      </c>
      <c r="J108" s="9">
        <f>I108-C108</f>
        <v>1.38</v>
      </c>
    </row>
    <row r="109" spans="1:10" x14ac:dyDescent="0.4">
      <c r="A109" s="2">
        <v>39447</v>
      </c>
      <c r="B109" s="3">
        <v>1897.13</v>
      </c>
      <c r="C109" s="3">
        <v>3.4</v>
      </c>
      <c r="D109" s="3">
        <v>32.25</v>
      </c>
      <c r="E109" s="4">
        <v>931882017</v>
      </c>
      <c r="F109">
        <v>5.73</v>
      </c>
      <c r="G109">
        <v>5.7</v>
      </c>
      <c r="H109">
        <v>1.39</v>
      </c>
      <c r="I109" s="9">
        <f>C109+H109</f>
        <v>4.79</v>
      </c>
      <c r="J109" s="9">
        <f>I109-C109</f>
        <v>1.3900000000000001</v>
      </c>
    </row>
    <row r="110" spans="1:10" x14ac:dyDescent="0.4">
      <c r="A110" s="2">
        <v>39478</v>
      </c>
      <c r="B110" s="3">
        <v>1624.68</v>
      </c>
      <c r="C110" s="3">
        <v>-14.36</v>
      </c>
      <c r="D110" s="3">
        <v>19.440000000000001</v>
      </c>
      <c r="E110" s="4">
        <v>798671622</v>
      </c>
      <c r="F110">
        <v>5.81</v>
      </c>
      <c r="G110">
        <v>5.47</v>
      </c>
      <c r="H110">
        <v>1.62</v>
      </c>
      <c r="I110" s="9">
        <f>C110+H110</f>
        <v>-12.739999999999998</v>
      </c>
      <c r="J110" s="9">
        <f>I110-C110</f>
        <v>1.620000000000001</v>
      </c>
    </row>
    <row r="111" spans="1:10" x14ac:dyDescent="0.4">
      <c r="A111" s="5">
        <v>39507</v>
      </c>
      <c r="B111" s="6">
        <v>1711.62</v>
      </c>
      <c r="C111" s="6">
        <v>4.5</v>
      </c>
      <c r="D111" s="6">
        <v>20.76</v>
      </c>
      <c r="E111" s="7">
        <v>841962877</v>
      </c>
      <c r="F111">
        <v>5.28</v>
      </c>
      <c r="G111">
        <v>5</v>
      </c>
      <c r="H111">
        <v>1.54</v>
      </c>
      <c r="I111" s="9">
        <f>C111+H111</f>
        <v>6.04</v>
      </c>
      <c r="J111" s="9">
        <f>I111-C111</f>
        <v>1.54</v>
      </c>
    </row>
    <row r="112" spans="1:10" x14ac:dyDescent="0.4">
      <c r="A112" s="2">
        <v>39538</v>
      </c>
      <c r="B112" s="3">
        <v>1703.99</v>
      </c>
      <c r="C112" s="3">
        <v>-0.45</v>
      </c>
      <c r="D112" s="3">
        <v>17.309999999999999</v>
      </c>
      <c r="E112" s="4">
        <v>842302902</v>
      </c>
      <c r="F112">
        <v>5.25</v>
      </c>
      <c r="G112">
        <v>5.05</v>
      </c>
      <c r="H112">
        <v>1.54</v>
      </c>
      <c r="I112" s="9">
        <f>C112+H112</f>
        <v>1.0900000000000001</v>
      </c>
      <c r="J112" s="9">
        <f>I112-C112</f>
        <v>1.54</v>
      </c>
    </row>
    <row r="113" spans="1:10" x14ac:dyDescent="0.4">
      <c r="A113" s="2">
        <v>39568</v>
      </c>
      <c r="B113" s="3">
        <v>1825.47</v>
      </c>
      <c r="C113" s="3">
        <v>7.27</v>
      </c>
      <c r="D113" s="3">
        <v>18.36</v>
      </c>
      <c r="E113" s="4">
        <v>905216229</v>
      </c>
      <c r="F113">
        <v>5.38</v>
      </c>
      <c r="G113">
        <v>5.07</v>
      </c>
      <c r="H113">
        <v>1.67</v>
      </c>
      <c r="I113" s="9">
        <f>C113+H113</f>
        <v>8.94</v>
      </c>
      <c r="J113" s="9">
        <f>I113-C113</f>
        <v>1.67</v>
      </c>
    </row>
    <row r="114" spans="1:10" x14ac:dyDescent="0.4">
      <c r="A114" s="2">
        <v>39599</v>
      </c>
      <c r="B114" s="3">
        <v>1852.02</v>
      </c>
      <c r="C114" s="3">
        <v>1.45</v>
      </c>
      <c r="D114" s="3">
        <v>11.38</v>
      </c>
      <c r="E114" s="4">
        <v>919342481</v>
      </c>
      <c r="F114">
        <v>5.36</v>
      </c>
      <c r="G114">
        <v>5.17</v>
      </c>
      <c r="H114">
        <v>1.64</v>
      </c>
      <c r="I114" s="9">
        <f>C114+H114</f>
        <v>3.09</v>
      </c>
      <c r="J114" s="9">
        <f>I114-C114</f>
        <v>1.64</v>
      </c>
    </row>
    <row r="115" spans="1:10" x14ac:dyDescent="0.4">
      <c r="A115" s="2">
        <v>39629</v>
      </c>
      <c r="B115" s="3">
        <v>1674.92</v>
      </c>
      <c r="C115" s="3">
        <v>-9.56</v>
      </c>
      <c r="D115" s="3">
        <v>-3.94</v>
      </c>
      <c r="E115" s="4">
        <v>832397718</v>
      </c>
      <c r="F115">
        <v>5.36</v>
      </c>
      <c r="G115">
        <v>5.46</v>
      </c>
      <c r="H115">
        <v>1.81</v>
      </c>
      <c r="I115" s="9">
        <f>C115+H115</f>
        <v>-7.75</v>
      </c>
      <c r="J115" s="9">
        <f>I115-C115</f>
        <v>1.8100000000000005</v>
      </c>
    </row>
    <row r="116" spans="1:10" x14ac:dyDescent="0.4">
      <c r="A116" s="5">
        <v>39660</v>
      </c>
      <c r="B116" s="6">
        <v>1594.67</v>
      </c>
      <c r="C116" s="6">
        <v>-4.79</v>
      </c>
      <c r="D116" s="6">
        <v>-17.510000000000002</v>
      </c>
      <c r="E116" s="7">
        <v>793424800</v>
      </c>
      <c r="F116">
        <v>5.52</v>
      </c>
      <c r="G116">
        <v>5.84</v>
      </c>
      <c r="H116">
        <v>1.9</v>
      </c>
      <c r="I116" s="9">
        <f>C116+H116</f>
        <v>-2.89</v>
      </c>
      <c r="J116" s="9">
        <f>I116-C116</f>
        <v>1.9</v>
      </c>
    </row>
    <row r="117" spans="1:10" x14ac:dyDescent="0.4">
      <c r="A117" s="2">
        <v>39691</v>
      </c>
      <c r="B117" s="3">
        <v>1474.24</v>
      </c>
      <c r="C117" s="3">
        <v>-5.93</v>
      </c>
      <c r="D117" s="3">
        <v>-19.27</v>
      </c>
      <c r="E117" s="4">
        <v>733565083</v>
      </c>
      <c r="F117">
        <v>5.77</v>
      </c>
      <c r="G117">
        <v>5.87</v>
      </c>
      <c r="H117">
        <v>2.12</v>
      </c>
      <c r="I117" s="9">
        <f>C117+H117</f>
        <v>-3.8099999999999996</v>
      </c>
      <c r="J117" s="9">
        <f>I117-C117</f>
        <v>2.12</v>
      </c>
    </row>
    <row r="118" spans="1:10" x14ac:dyDescent="0.4">
      <c r="A118" s="2">
        <v>39721</v>
      </c>
      <c r="B118" s="3">
        <v>1448.06</v>
      </c>
      <c r="C118" s="3">
        <v>-1.78</v>
      </c>
      <c r="D118" s="3">
        <v>-25.61</v>
      </c>
      <c r="E118" s="4">
        <v>720767140</v>
      </c>
      <c r="F118">
        <v>5.79</v>
      </c>
      <c r="G118">
        <v>5.9</v>
      </c>
      <c r="H118">
        <v>2.15</v>
      </c>
      <c r="I118" s="9">
        <f>C118+H118</f>
        <v>0.36999999999999988</v>
      </c>
      <c r="J118" s="9">
        <f>I118-C118</f>
        <v>2.15</v>
      </c>
    </row>
    <row r="119" spans="1:10" x14ac:dyDescent="0.4">
      <c r="A119" s="2">
        <v>39752</v>
      </c>
      <c r="B119" s="3">
        <v>1113.06</v>
      </c>
      <c r="C119" s="3">
        <v>-23.13</v>
      </c>
      <c r="D119" s="3">
        <v>-46.09</v>
      </c>
      <c r="E119" s="4">
        <v>553407929</v>
      </c>
      <c r="F119">
        <v>6.03</v>
      </c>
      <c r="G119">
        <v>5.66</v>
      </c>
      <c r="H119">
        <v>2.66</v>
      </c>
      <c r="I119" s="9">
        <f>C119+H119</f>
        <v>-20.47</v>
      </c>
      <c r="J119" s="9">
        <f>I119-C119</f>
        <v>2.66</v>
      </c>
    </row>
    <row r="120" spans="1:10" x14ac:dyDescent="0.4">
      <c r="A120" s="2">
        <v>39782</v>
      </c>
      <c r="B120" s="3">
        <v>1076.07</v>
      </c>
      <c r="C120" s="3">
        <v>7.7</v>
      </c>
      <c r="D120" s="3">
        <v>-41.35</v>
      </c>
      <c r="E120" s="4">
        <v>541675641</v>
      </c>
      <c r="F120">
        <v>5.62</v>
      </c>
      <c r="G120">
        <v>5.33</v>
      </c>
      <c r="H120">
        <v>2.71</v>
      </c>
      <c r="I120" s="9">
        <f>C120+H120</f>
        <v>10.41</v>
      </c>
      <c r="J120" s="9">
        <f>I120-C120</f>
        <v>2.71</v>
      </c>
    </row>
    <row r="121" spans="1:10" x14ac:dyDescent="0.4">
      <c r="A121" s="5">
        <v>39813</v>
      </c>
      <c r="B121" s="6">
        <v>1124.47</v>
      </c>
      <c r="C121" s="6">
        <v>4.5</v>
      </c>
      <c r="D121" s="6">
        <v>-40.729999999999997</v>
      </c>
      <c r="E121" s="7">
        <v>566350276</v>
      </c>
      <c r="F121">
        <v>4.68</v>
      </c>
      <c r="G121">
        <v>4.08</v>
      </c>
      <c r="H121">
        <v>2.58</v>
      </c>
      <c r="I121" s="9">
        <f>C121+H121</f>
        <v>7.08</v>
      </c>
      <c r="J121" s="9">
        <f>I121-C121</f>
        <v>2.58</v>
      </c>
    </row>
    <row r="122" spans="1:10" x14ac:dyDescent="0.4">
      <c r="A122" s="2">
        <v>39844</v>
      </c>
      <c r="B122" s="3">
        <v>1162.1099999999999</v>
      </c>
      <c r="C122" s="3">
        <v>3.35</v>
      </c>
      <c r="D122" s="3">
        <v>-26.87</v>
      </c>
      <c r="E122" s="4">
        <v>586244786</v>
      </c>
      <c r="F122">
        <v>3.22</v>
      </c>
      <c r="G122">
        <v>2.75</v>
      </c>
      <c r="H122">
        <v>2.5</v>
      </c>
      <c r="I122" s="9">
        <f>C122+H122</f>
        <v>5.85</v>
      </c>
      <c r="J122" s="9">
        <f>I122-C122</f>
        <v>2.4999999999999996</v>
      </c>
    </row>
    <row r="123" spans="1:10" x14ac:dyDescent="0.4">
      <c r="A123" s="2">
        <v>39872</v>
      </c>
      <c r="B123" s="3">
        <v>1063.03</v>
      </c>
      <c r="C123" s="3">
        <v>-2.78</v>
      </c>
      <c r="D123" s="3">
        <v>-38.229999999999997</v>
      </c>
      <c r="E123" s="4">
        <v>537837944</v>
      </c>
      <c r="F123">
        <v>2.7</v>
      </c>
      <c r="G123">
        <v>2.52</v>
      </c>
      <c r="H123">
        <v>2.73</v>
      </c>
      <c r="I123" s="9">
        <f>C123+H123</f>
        <v>-4.9999999999999822E-2</v>
      </c>
      <c r="J123" s="9">
        <f>I123-C123</f>
        <v>2.73</v>
      </c>
    </row>
    <row r="124" spans="1:10" x14ac:dyDescent="0.4">
      <c r="A124" s="2">
        <v>39903</v>
      </c>
      <c r="B124" s="3">
        <v>1206.26</v>
      </c>
      <c r="C124" s="3">
        <v>13.47</v>
      </c>
      <c r="D124" s="3">
        <v>-29.21</v>
      </c>
      <c r="E124" s="4">
        <v>610884048</v>
      </c>
      <c r="F124">
        <v>2.4500000000000002</v>
      </c>
      <c r="G124">
        <v>2.61</v>
      </c>
      <c r="H124">
        <v>2.52</v>
      </c>
      <c r="I124" s="9">
        <f>C124+H124</f>
        <v>15.99</v>
      </c>
      <c r="J124" s="9">
        <f>I124-C124</f>
        <v>2.5199999999999996</v>
      </c>
    </row>
    <row r="125" spans="1:10" x14ac:dyDescent="0.4">
      <c r="A125" s="2">
        <v>39933</v>
      </c>
      <c r="B125" s="3">
        <v>1369.36</v>
      </c>
      <c r="C125" s="3">
        <v>14.36</v>
      </c>
      <c r="D125" s="3">
        <v>-24.99</v>
      </c>
      <c r="E125" s="4">
        <v>696593896</v>
      </c>
      <c r="F125">
        <v>2.42</v>
      </c>
      <c r="G125">
        <v>2.58</v>
      </c>
      <c r="H125">
        <v>2.23</v>
      </c>
      <c r="I125" s="9">
        <f>C125+H125</f>
        <v>16.59</v>
      </c>
      <c r="J125" s="9">
        <f>I125-C125</f>
        <v>2.2300000000000004</v>
      </c>
    </row>
    <row r="126" spans="1:10" x14ac:dyDescent="0.4">
      <c r="A126" s="5">
        <v>39964</v>
      </c>
      <c r="B126" s="6">
        <v>1395.89</v>
      </c>
      <c r="C126" s="6">
        <v>4.29</v>
      </c>
      <c r="D126" s="6">
        <v>-24.19</v>
      </c>
      <c r="E126" s="7">
        <v>710129565</v>
      </c>
      <c r="F126">
        <v>2.41</v>
      </c>
      <c r="G126">
        <v>2.62</v>
      </c>
      <c r="H126">
        <v>1.47</v>
      </c>
      <c r="I126" s="9">
        <f>C126+H126</f>
        <v>5.76</v>
      </c>
      <c r="J126" s="9">
        <f>I126-C126</f>
        <v>1.4699999999999998</v>
      </c>
    </row>
    <row r="127" spans="1:10" x14ac:dyDescent="0.4">
      <c r="A127" s="2">
        <v>39994</v>
      </c>
      <c r="B127" s="3">
        <v>1390.07</v>
      </c>
      <c r="C127" s="3">
        <v>-0.42</v>
      </c>
      <c r="D127" s="3">
        <v>-17.010000000000002</v>
      </c>
      <c r="E127" s="4">
        <v>703887562</v>
      </c>
      <c r="F127">
        <v>2.41</v>
      </c>
      <c r="G127">
        <v>2.86</v>
      </c>
      <c r="H127">
        <v>1.49</v>
      </c>
      <c r="I127" s="9">
        <f>C127+H127</f>
        <v>1.07</v>
      </c>
      <c r="J127" s="9">
        <f>I127-C127</f>
        <v>1.49</v>
      </c>
    </row>
    <row r="128" spans="1:10" x14ac:dyDescent="0.4">
      <c r="A128" s="2">
        <v>40025</v>
      </c>
      <c r="B128" s="3">
        <v>1557.29</v>
      </c>
      <c r="C128" s="3">
        <v>12.03</v>
      </c>
      <c r="D128" s="3">
        <v>-2.34</v>
      </c>
      <c r="E128" s="4">
        <v>791152626</v>
      </c>
      <c r="F128">
        <v>2.41</v>
      </c>
      <c r="G128">
        <v>2.82</v>
      </c>
      <c r="H128">
        <v>1.33</v>
      </c>
      <c r="I128" s="9">
        <f>C128+H128</f>
        <v>13.36</v>
      </c>
      <c r="J128" s="9">
        <f>I128-C128</f>
        <v>1.33</v>
      </c>
    </row>
    <row r="129" spans="1:10" x14ac:dyDescent="0.4">
      <c r="A129" s="2">
        <v>40056</v>
      </c>
      <c r="B129" s="3">
        <v>1591.85</v>
      </c>
      <c r="C129" s="3">
        <v>2.2200000000000002</v>
      </c>
      <c r="D129" s="3">
        <v>7.98</v>
      </c>
      <c r="E129" s="4">
        <v>810768237</v>
      </c>
      <c r="F129">
        <v>2.48</v>
      </c>
      <c r="G129">
        <v>3.31</v>
      </c>
      <c r="H129">
        <v>1.25</v>
      </c>
      <c r="I129" s="9">
        <f>C129+H129</f>
        <v>3.47</v>
      </c>
      <c r="J129" s="9">
        <f>I129-C129</f>
        <v>1.25</v>
      </c>
    </row>
    <row r="130" spans="1:10" x14ac:dyDescent="0.4">
      <c r="A130" s="2">
        <v>40086</v>
      </c>
      <c r="B130" s="3">
        <v>1673.14</v>
      </c>
      <c r="C130" s="3">
        <v>4.05</v>
      </c>
      <c r="D130" s="3">
        <v>15.54</v>
      </c>
      <c r="E130" s="4">
        <v>852501428</v>
      </c>
      <c r="F130">
        <v>2.64</v>
      </c>
      <c r="G130">
        <v>3.47</v>
      </c>
      <c r="H130">
        <v>1.19</v>
      </c>
      <c r="I130" s="9">
        <f>C130+H130</f>
        <v>5.24</v>
      </c>
      <c r="J130" s="9">
        <f>I130-C130</f>
        <v>1.1900000000000004</v>
      </c>
    </row>
    <row r="131" spans="1:10" x14ac:dyDescent="0.4">
      <c r="A131" s="5">
        <v>40117</v>
      </c>
      <c r="B131" s="6">
        <v>1580.69</v>
      </c>
      <c r="C131" s="6">
        <v>-5.53</v>
      </c>
      <c r="D131" s="6">
        <v>45.72</v>
      </c>
      <c r="E131" s="7">
        <v>808732943</v>
      </c>
      <c r="F131">
        <v>2.79</v>
      </c>
      <c r="G131">
        <v>3.54</v>
      </c>
      <c r="H131">
        <v>1.26</v>
      </c>
      <c r="I131" s="9">
        <f>C131+H131</f>
        <v>-4.2700000000000005</v>
      </c>
      <c r="J131" s="9">
        <f>I131-C131</f>
        <v>1.2599999999999998</v>
      </c>
    </row>
    <row r="132" spans="1:10" x14ac:dyDescent="0.4">
      <c r="A132" s="2">
        <v>40147</v>
      </c>
      <c r="B132" s="3">
        <v>1555.6</v>
      </c>
      <c r="C132" s="3">
        <v>-1.59</v>
      </c>
      <c r="D132" s="3">
        <v>44.56</v>
      </c>
      <c r="E132" s="4">
        <v>799348046</v>
      </c>
      <c r="F132">
        <v>2.79</v>
      </c>
      <c r="G132">
        <v>3.29</v>
      </c>
      <c r="H132">
        <v>1.28</v>
      </c>
      <c r="I132" s="9">
        <f>C132+H132</f>
        <v>-0.31000000000000005</v>
      </c>
      <c r="J132" s="9">
        <f>I132-C132</f>
        <v>1.28</v>
      </c>
    </row>
    <row r="133" spans="1:10" x14ac:dyDescent="0.4">
      <c r="A133" s="2">
        <v>40178</v>
      </c>
      <c r="B133" s="3">
        <v>1682.77</v>
      </c>
      <c r="C133" s="3">
        <v>8.17</v>
      </c>
      <c r="D133" s="3">
        <v>49.65</v>
      </c>
      <c r="E133" s="4">
        <v>866761598</v>
      </c>
      <c r="F133">
        <v>2.82</v>
      </c>
      <c r="G133">
        <v>3.35</v>
      </c>
      <c r="H133">
        <v>1.17</v>
      </c>
      <c r="I133" s="9">
        <f>C133+H133</f>
        <v>9.34</v>
      </c>
      <c r="J133" s="9">
        <f>I133-C133</f>
        <v>1.17</v>
      </c>
    </row>
    <row r="134" spans="1:10" x14ac:dyDescent="0.4">
      <c r="A134" s="2">
        <v>40209</v>
      </c>
      <c r="B134" s="3">
        <v>1602.43</v>
      </c>
      <c r="C134" s="3">
        <v>-4.1900000000000004</v>
      </c>
      <c r="D134" s="3">
        <v>37.36</v>
      </c>
      <c r="E134" s="4">
        <v>827703732</v>
      </c>
      <c r="F134">
        <v>2.88</v>
      </c>
      <c r="G134">
        <v>3.33</v>
      </c>
      <c r="H134">
        <v>1.23</v>
      </c>
      <c r="I134" s="9">
        <f>C134+H134</f>
        <v>-2.9600000000000004</v>
      </c>
      <c r="J134" s="9">
        <f>I134-C134</f>
        <v>1.23</v>
      </c>
    </row>
    <row r="135" spans="1:10" x14ac:dyDescent="0.4">
      <c r="A135" s="2">
        <v>40237</v>
      </c>
      <c r="B135" s="3">
        <v>1594.58</v>
      </c>
      <c r="C135" s="3">
        <v>-2.61</v>
      </c>
      <c r="D135" s="3">
        <v>51.18</v>
      </c>
      <c r="E135" s="4">
        <v>824045773</v>
      </c>
      <c r="F135">
        <v>2.88</v>
      </c>
      <c r="G135">
        <v>3.18</v>
      </c>
      <c r="H135">
        <v>1.23</v>
      </c>
      <c r="I135" s="9">
        <f>C135+H135</f>
        <v>-1.38</v>
      </c>
      <c r="J135" s="9">
        <f>I135-C135</f>
        <v>1.23</v>
      </c>
    </row>
    <row r="136" spans="1:10" x14ac:dyDescent="0.4">
      <c r="A136" s="5">
        <v>40268</v>
      </c>
      <c r="B136" s="6">
        <v>1692.85</v>
      </c>
      <c r="C136" s="6">
        <v>6.16</v>
      </c>
      <c r="D136" s="6">
        <v>40.340000000000003</v>
      </c>
      <c r="E136" s="7">
        <v>883214684</v>
      </c>
      <c r="F136">
        <v>2.83</v>
      </c>
      <c r="G136">
        <v>2.89</v>
      </c>
      <c r="H136">
        <v>1.1499999999999999</v>
      </c>
      <c r="I136" s="9">
        <f>C136+H136</f>
        <v>7.3100000000000005</v>
      </c>
      <c r="J136" s="9">
        <f>I136-C136</f>
        <v>1.1500000000000004</v>
      </c>
    </row>
    <row r="137" spans="1:10" x14ac:dyDescent="0.4">
      <c r="A137" s="2">
        <v>40298</v>
      </c>
      <c r="B137" s="3">
        <v>1741.56</v>
      </c>
      <c r="C137" s="3">
        <v>2.4300000000000002</v>
      </c>
      <c r="D137" s="3">
        <v>27.18</v>
      </c>
      <c r="E137" s="4">
        <v>910204508</v>
      </c>
      <c r="F137">
        <v>2.5099999999999998</v>
      </c>
      <c r="G137">
        <v>2.7</v>
      </c>
      <c r="H137">
        <v>1.3</v>
      </c>
      <c r="I137" s="9">
        <f>C137+H137</f>
        <v>3.7300000000000004</v>
      </c>
      <c r="J137" s="9">
        <f>I137-C137</f>
        <v>1.3000000000000003</v>
      </c>
    </row>
    <row r="138" spans="1:10" x14ac:dyDescent="0.4">
      <c r="A138" s="2">
        <v>40329</v>
      </c>
      <c r="B138" s="3">
        <v>1641.25</v>
      </c>
      <c r="C138" s="3">
        <v>-5.76</v>
      </c>
      <c r="D138" s="3">
        <v>17.579999999999998</v>
      </c>
      <c r="E138" s="4">
        <v>883260985</v>
      </c>
      <c r="F138">
        <v>2.4500000000000002</v>
      </c>
      <c r="G138">
        <v>2.85</v>
      </c>
      <c r="H138">
        <v>1.35</v>
      </c>
      <c r="I138" s="9">
        <f>C138+H138</f>
        <v>-4.41</v>
      </c>
      <c r="J138" s="9">
        <f>I138-C138</f>
        <v>1.3499999999999996</v>
      </c>
    </row>
    <row r="139" spans="1:10" x14ac:dyDescent="0.4">
      <c r="A139" s="2">
        <v>40359</v>
      </c>
      <c r="B139" s="3">
        <v>1698.29</v>
      </c>
      <c r="C139" s="3">
        <v>4.6500000000000004</v>
      </c>
      <c r="D139" s="3">
        <v>22.17</v>
      </c>
      <c r="E139" s="4">
        <v>915372561</v>
      </c>
      <c r="F139">
        <v>2.4500000000000002</v>
      </c>
      <c r="G139">
        <v>3.03</v>
      </c>
      <c r="H139">
        <v>1.3</v>
      </c>
      <c r="I139" s="9">
        <f>C139+H139</f>
        <v>5.95</v>
      </c>
      <c r="J139" s="9">
        <f>I139-C139</f>
        <v>1.2999999999999998</v>
      </c>
    </row>
    <row r="140" spans="1:10" x14ac:dyDescent="0.4">
      <c r="A140" s="2">
        <v>40390</v>
      </c>
      <c r="B140" s="3">
        <v>1759.33</v>
      </c>
      <c r="C140" s="3">
        <v>3.59</v>
      </c>
      <c r="D140" s="3">
        <v>14.63</v>
      </c>
      <c r="E140" s="4">
        <v>950107300</v>
      </c>
      <c r="F140">
        <v>2.58</v>
      </c>
      <c r="G140">
        <v>3.17</v>
      </c>
      <c r="H140">
        <v>1.31</v>
      </c>
      <c r="I140" s="9">
        <f>C140+H140</f>
        <v>4.9000000000000004</v>
      </c>
      <c r="J140" s="9">
        <f>I140-C140</f>
        <v>1.3100000000000005</v>
      </c>
    </row>
    <row r="141" spans="1:10" x14ac:dyDescent="0.4">
      <c r="A141" s="5">
        <v>40421</v>
      </c>
      <c r="B141" s="6">
        <v>1742.75</v>
      </c>
      <c r="C141" s="6">
        <v>-0.94</v>
      </c>
      <c r="D141" s="6">
        <v>9.48</v>
      </c>
      <c r="E141" s="7">
        <v>941919722</v>
      </c>
      <c r="F141">
        <v>2.63</v>
      </c>
      <c r="G141">
        <v>3.19</v>
      </c>
      <c r="H141">
        <v>1.32</v>
      </c>
      <c r="I141" s="9">
        <f>C141+H141</f>
        <v>0.38000000000000012</v>
      </c>
      <c r="J141" s="9">
        <f>I141-C141</f>
        <v>1.32</v>
      </c>
    </row>
    <row r="142" spans="1:10" x14ac:dyDescent="0.4">
      <c r="A142" s="2">
        <v>40451</v>
      </c>
      <c r="B142" s="3">
        <v>1872.81</v>
      </c>
      <c r="C142" s="3">
        <v>6.4</v>
      </c>
      <c r="D142" s="3">
        <v>11.93</v>
      </c>
      <c r="E142" s="4">
        <v>1014770411</v>
      </c>
      <c r="F142">
        <v>2.66</v>
      </c>
      <c r="G142">
        <v>3.03</v>
      </c>
      <c r="H142">
        <v>1.23</v>
      </c>
      <c r="I142" s="9">
        <f>C142+H142</f>
        <v>7.6300000000000008</v>
      </c>
      <c r="J142" s="9">
        <f>I142-C142</f>
        <v>1.2300000000000004</v>
      </c>
    </row>
    <row r="143" spans="1:10" x14ac:dyDescent="0.4">
      <c r="A143" s="2">
        <v>40482</v>
      </c>
      <c r="B143" s="3">
        <v>1882.95</v>
      </c>
      <c r="C143" s="3">
        <v>0.88</v>
      </c>
      <c r="D143" s="3">
        <v>18.73</v>
      </c>
      <c r="E143" s="4">
        <v>1021403750</v>
      </c>
      <c r="F143">
        <v>2.66</v>
      </c>
      <c r="G143">
        <v>2.87</v>
      </c>
      <c r="H143">
        <v>1.22</v>
      </c>
      <c r="I143" s="9">
        <f>C143+H143</f>
        <v>2.1</v>
      </c>
      <c r="J143" s="9">
        <f>I143-C143</f>
        <v>1.2200000000000002</v>
      </c>
    </row>
    <row r="144" spans="1:10" x14ac:dyDescent="0.4">
      <c r="A144" s="2">
        <v>40512</v>
      </c>
      <c r="B144" s="3">
        <v>1904.63</v>
      </c>
      <c r="C144" s="3">
        <v>1.1499999999999999</v>
      </c>
      <c r="D144" s="3">
        <v>22.44</v>
      </c>
      <c r="E144" s="4">
        <v>1034228258</v>
      </c>
      <c r="F144">
        <v>2.73</v>
      </c>
      <c r="G144">
        <v>3.03</v>
      </c>
      <c r="H144">
        <v>1.21</v>
      </c>
      <c r="I144" s="9">
        <f>C144+H144</f>
        <v>2.36</v>
      </c>
      <c r="J144" s="9">
        <f>I144-C144</f>
        <v>1.21</v>
      </c>
    </row>
    <row r="145" spans="1:10" x14ac:dyDescent="0.4">
      <c r="A145" s="2">
        <v>40543</v>
      </c>
      <c r="B145" s="3">
        <v>2051</v>
      </c>
      <c r="C145" s="3">
        <v>7.68</v>
      </c>
      <c r="D145" s="3">
        <v>21.88</v>
      </c>
      <c r="E145" s="4">
        <v>1116382712</v>
      </c>
      <c r="F145">
        <v>2.8</v>
      </c>
      <c r="G145">
        <v>3.07</v>
      </c>
      <c r="H145">
        <v>1.1200000000000001</v>
      </c>
      <c r="I145" s="9">
        <f>C145+H145</f>
        <v>8.8000000000000007</v>
      </c>
      <c r="J145" s="9">
        <f>I145-C145</f>
        <v>1.120000000000001</v>
      </c>
    </row>
    <row r="146" spans="1:10" x14ac:dyDescent="0.4">
      <c r="A146" s="5">
        <v>40574</v>
      </c>
      <c r="B146" s="6">
        <v>2069.73</v>
      </c>
      <c r="C146" s="6">
        <v>0.91</v>
      </c>
      <c r="D146" s="6">
        <v>29.16</v>
      </c>
      <c r="E146" s="7">
        <v>1130041896</v>
      </c>
      <c r="F146">
        <v>2.93</v>
      </c>
      <c r="G146">
        <v>3.32</v>
      </c>
      <c r="H146">
        <v>1.1100000000000001</v>
      </c>
      <c r="I146" s="9">
        <f>C146+H146</f>
        <v>2.02</v>
      </c>
      <c r="J146" s="9">
        <f>I146-C146</f>
        <v>1.1099999999999999</v>
      </c>
    </row>
    <row r="147" spans="1:10" x14ac:dyDescent="0.4">
      <c r="A147" s="2">
        <v>40602</v>
      </c>
      <c r="B147" s="3">
        <v>1939.3</v>
      </c>
      <c r="C147" s="3">
        <v>-8</v>
      </c>
      <c r="D147" s="3">
        <v>21.62</v>
      </c>
      <c r="E147" s="4">
        <v>1061496145</v>
      </c>
      <c r="F147">
        <v>3.13</v>
      </c>
      <c r="G147">
        <v>3.58</v>
      </c>
      <c r="H147">
        <v>1.18</v>
      </c>
      <c r="I147" s="9">
        <f>C147+H147</f>
        <v>-6.82</v>
      </c>
      <c r="J147" s="9">
        <f>I147-C147</f>
        <v>1.1799999999999997</v>
      </c>
    </row>
    <row r="148" spans="1:10" x14ac:dyDescent="0.4">
      <c r="A148" s="2">
        <v>40633</v>
      </c>
      <c r="B148" s="3">
        <v>2106.6999999999998</v>
      </c>
      <c r="C148" s="3">
        <v>8.6300000000000008</v>
      </c>
      <c r="D148" s="3">
        <v>24.45</v>
      </c>
      <c r="E148" s="4">
        <v>1155072012</v>
      </c>
      <c r="F148">
        <v>3.35</v>
      </c>
      <c r="G148">
        <v>3.6</v>
      </c>
      <c r="H148">
        <v>1.0900000000000001</v>
      </c>
      <c r="I148" s="9">
        <f>C148+H148</f>
        <v>9.7200000000000006</v>
      </c>
      <c r="J148" s="9">
        <f>I148-C148</f>
        <v>1.0899999999999999</v>
      </c>
    </row>
    <row r="149" spans="1:10" x14ac:dyDescent="0.4">
      <c r="A149" s="2">
        <v>40663</v>
      </c>
      <c r="B149" s="3">
        <v>2192.36</v>
      </c>
      <c r="C149" s="3">
        <v>5.8</v>
      </c>
      <c r="D149" s="3">
        <v>26.84</v>
      </c>
      <c r="E149" s="4">
        <v>1201955131</v>
      </c>
      <c r="F149">
        <v>3.4</v>
      </c>
      <c r="G149">
        <v>3.61</v>
      </c>
      <c r="H149">
        <v>1.25</v>
      </c>
      <c r="I149" s="9">
        <f>C149+H149</f>
        <v>7.05</v>
      </c>
      <c r="J149" s="9">
        <f>I149-C149</f>
        <v>1.25</v>
      </c>
    </row>
    <row r="150" spans="1:10" x14ac:dyDescent="0.4">
      <c r="A150" s="2">
        <v>40694</v>
      </c>
      <c r="B150" s="3">
        <v>2142.4699999999998</v>
      </c>
      <c r="C150" s="3">
        <v>-2.2799999999999998</v>
      </c>
      <c r="D150" s="3">
        <v>30.54</v>
      </c>
      <c r="E150" s="4">
        <v>1175497933</v>
      </c>
      <c r="F150">
        <v>3.46</v>
      </c>
      <c r="G150">
        <v>3.62</v>
      </c>
      <c r="H150">
        <v>1.28</v>
      </c>
      <c r="I150" s="9">
        <f>C150+H150</f>
        <v>-0.99999999999999978</v>
      </c>
      <c r="J150" s="9">
        <f>I150-C150</f>
        <v>1.28</v>
      </c>
    </row>
    <row r="151" spans="1:10" x14ac:dyDescent="0.4">
      <c r="A151" s="5">
        <v>40724</v>
      </c>
      <c r="B151" s="6">
        <v>2100.69</v>
      </c>
      <c r="C151" s="6">
        <v>0.33</v>
      </c>
      <c r="D151" s="6">
        <v>23.69</v>
      </c>
      <c r="E151" s="7">
        <v>1158655567</v>
      </c>
      <c r="F151">
        <v>3.53</v>
      </c>
      <c r="G151">
        <v>3.62</v>
      </c>
      <c r="H151">
        <v>1.3</v>
      </c>
      <c r="I151" s="9">
        <f>C151+H151</f>
        <v>1.6300000000000001</v>
      </c>
      <c r="J151" s="9">
        <f>I151-C151</f>
        <v>1.3</v>
      </c>
    </row>
    <row r="152" spans="1:10" x14ac:dyDescent="0.4">
      <c r="A152" s="2">
        <v>40755</v>
      </c>
      <c r="B152" s="3">
        <v>2133.21</v>
      </c>
      <c r="C152" s="3">
        <v>1.85</v>
      </c>
      <c r="D152" s="3">
        <v>20.46</v>
      </c>
      <c r="E152" s="4">
        <v>1178424603</v>
      </c>
      <c r="F152">
        <v>3.59</v>
      </c>
      <c r="G152">
        <v>3.73</v>
      </c>
      <c r="H152">
        <v>1.31</v>
      </c>
      <c r="I152" s="9">
        <f>C152+H152</f>
        <v>3.16</v>
      </c>
      <c r="J152" s="9">
        <f>I152-C152</f>
        <v>1.31</v>
      </c>
    </row>
    <row r="153" spans="1:10" x14ac:dyDescent="0.4">
      <c r="A153" s="2">
        <v>40786</v>
      </c>
      <c r="B153" s="3">
        <v>1880.11</v>
      </c>
      <c r="C153" s="3">
        <v>-11.86</v>
      </c>
      <c r="D153" s="3">
        <v>7.88</v>
      </c>
      <c r="E153" s="4">
        <v>1039206954</v>
      </c>
      <c r="F153">
        <v>3.59</v>
      </c>
      <c r="G153">
        <v>3.59</v>
      </c>
      <c r="H153">
        <v>1.49</v>
      </c>
      <c r="I153" s="9">
        <f>C153+H153</f>
        <v>-10.37</v>
      </c>
      <c r="J153" s="9">
        <f>I153-C153</f>
        <v>1.4900000000000002</v>
      </c>
    </row>
    <row r="154" spans="1:10" x14ac:dyDescent="0.4">
      <c r="A154" s="2">
        <v>40816</v>
      </c>
      <c r="B154" s="3">
        <v>1769.65</v>
      </c>
      <c r="C154" s="3">
        <v>-4.0199999999999996</v>
      </c>
      <c r="D154" s="3">
        <v>-5.51</v>
      </c>
      <c r="E154" s="4">
        <v>979846947</v>
      </c>
      <c r="F154">
        <v>3.58</v>
      </c>
      <c r="G154">
        <v>3.47</v>
      </c>
      <c r="H154">
        <v>1.59</v>
      </c>
      <c r="I154" s="9">
        <f>C154+H154</f>
        <v>-2.4299999999999997</v>
      </c>
      <c r="J154" s="9">
        <f>I154-C154</f>
        <v>1.5899999999999999</v>
      </c>
    </row>
    <row r="155" spans="1:10" x14ac:dyDescent="0.4">
      <c r="A155" s="2">
        <v>40847</v>
      </c>
      <c r="B155" s="3">
        <v>1909.03</v>
      </c>
      <c r="C155" s="3">
        <v>7.88</v>
      </c>
      <c r="D155" s="3">
        <v>1.39</v>
      </c>
      <c r="E155" s="4">
        <v>1059346743</v>
      </c>
      <c r="F155">
        <v>3.58</v>
      </c>
      <c r="G155">
        <v>3.52</v>
      </c>
      <c r="H155">
        <v>1.47</v>
      </c>
      <c r="I155" s="9">
        <f>C155+H155</f>
        <v>9.35</v>
      </c>
      <c r="J155" s="9">
        <f>I155-C155</f>
        <v>1.4699999999999998</v>
      </c>
    </row>
    <row r="156" spans="1:10" x14ac:dyDescent="0.4">
      <c r="A156" s="5">
        <v>40877</v>
      </c>
      <c r="B156" s="6">
        <v>1847.51</v>
      </c>
      <c r="C156" s="6">
        <v>-4.25</v>
      </c>
      <c r="D156" s="6">
        <v>-3</v>
      </c>
      <c r="E156" s="7">
        <v>1026917615</v>
      </c>
      <c r="F156">
        <v>3.56</v>
      </c>
      <c r="G156">
        <v>3.49</v>
      </c>
      <c r="H156">
        <v>1.52</v>
      </c>
      <c r="I156" s="9">
        <f>C156+H156</f>
        <v>-2.73</v>
      </c>
      <c r="J156" s="9">
        <f>I156-C156</f>
        <v>1.52</v>
      </c>
    </row>
    <row r="157" spans="1:10" x14ac:dyDescent="0.4">
      <c r="A157" s="2">
        <v>40908</v>
      </c>
      <c r="B157" s="3">
        <v>1825.74</v>
      </c>
      <c r="C157" s="3">
        <v>-1.66</v>
      </c>
      <c r="D157" s="3">
        <v>-10.66</v>
      </c>
      <c r="E157" s="4">
        <v>1017941886</v>
      </c>
      <c r="F157">
        <v>3.55</v>
      </c>
      <c r="G157">
        <v>3.48</v>
      </c>
      <c r="H157">
        <v>1.54</v>
      </c>
      <c r="I157" s="9">
        <f>C157+H157</f>
        <v>-0.11999999999999988</v>
      </c>
      <c r="J157" s="9">
        <f>I157-C157</f>
        <v>1.54</v>
      </c>
    </row>
    <row r="158" spans="1:10" x14ac:dyDescent="0.4">
      <c r="A158" s="2">
        <v>40939</v>
      </c>
      <c r="B158" s="3">
        <v>1955.79</v>
      </c>
      <c r="C158" s="3">
        <v>7.12</v>
      </c>
      <c r="D158" s="3">
        <v>-5.51</v>
      </c>
      <c r="E158" s="4">
        <v>1090941024</v>
      </c>
      <c r="F158">
        <v>3.55</v>
      </c>
      <c r="G158">
        <v>3.46</v>
      </c>
      <c r="H158">
        <v>1.44</v>
      </c>
      <c r="I158" s="9">
        <f>C158+H158</f>
        <v>8.56</v>
      </c>
      <c r="J158" s="9">
        <f>I158-C158</f>
        <v>1.4400000000000004</v>
      </c>
    </row>
    <row r="159" spans="1:10" x14ac:dyDescent="0.4">
      <c r="A159" s="2">
        <v>40968</v>
      </c>
      <c r="B159" s="3">
        <v>2030.25</v>
      </c>
      <c r="C159" s="3">
        <v>3.33</v>
      </c>
      <c r="D159" s="3">
        <v>4.6900000000000004</v>
      </c>
      <c r="E159" s="4">
        <v>1136197027</v>
      </c>
      <c r="F159">
        <v>3.53</v>
      </c>
      <c r="G159">
        <v>3.46</v>
      </c>
      <c r="H159">
        <v>1.38</v>
      </c>
      <c r="I159" s="9">
        <f>C159+H159</f>
        <v>4.71</v>
      </c>
      <c r="J159" s="9">
        <f>I159-C159</f>
        <v>1.38</v>
      </c>
    </row>
    <row r="160" spans="1:10" x14ac:dyDescent="0.4">
      <c r="A160" s="2">
        <v>40999</v>
      </c>
      <c r="B160" s="3">
        <v>2014.04</v>
      </c>
      <c r="C160" s="3">
        <v>-0.8</v>
      </c>
      <c r="D160" s="3">
        <v>-3.7</v>
      </c>
      <c r="E160" s="4">
        <v>1127644089</v>
      </c>
      <c r="F160">
        <v>3.54</v>
      </c>
      <c r="G160">
        <v>3.54</v>
      </c>
      <c r="H160">
        <v>1.39</v>
      </c>
      <c r="I160" s="9">
        <f>C160+H160</f>
        <v>0.58999999999999986</v>
      </c>
      <c r="J160" s="9">
        <f>I160-C160</f>
        <v>1.39</v>
      </c>
    </row>
    <row r="161" spans="1:10" x14ac:dyDescent="0.4">
      <c r="A161" s="5">
        <v>41029</v>
      </c>
      <c r="B161" s="6">
        <v>1981.99</v>
      </c>
      <c r="C161" s="6">
        <v>-1.59</v>
      </c>
      <c r="D161" s="6">
        <v>-9.6</v>
      </c>
      <c r="E161" s="7">
        <v>1111461227</v>
      </c>
      <c r="F161">
        <v>3.54</v>
      </c>
      <c r="G161">
        <v>3.47</v>
      </c>
      <c r="H161">
        <v>1.36</v>
      </c>
      <c r="I161" s="9">
        <f>C161+H161</f>
        <v>-0.22999999999999998</v>
      </c>
      <c r="J161" s="9">
        <f>I161-C161</f>
        <v>1.36</v>
      </c>
    </row>
    <row r="162" spans="1:10" x14ac:dyDescent="0.4">
      <c r="A162" s="2">
        <v>41060</v>
      </c>
      <c r="B162" s="3">
        <v>1843.47</v>
      </c>
      <c r="C162" s="3">
        <v>-6.99</v>
      </c>
      <c r="D162" s="3">
        <v>-13.96</v>
      </c>
      <c r="E162" s="4">
        <v>1033799291</v>
      </c>
      <c r="F162">
        <v>3.54</v>
      </c>
      <c r="G162">
        <v>3.39</v>
      </c>
      <c r="H162">
        <v>1.46</v>
      </c>
      <c r="I162" s="9">
        <f>C162+H162</f>
        <v>-5.53</v>
      </c>
      <c r="J162" s="9">
        <f>I162-C162</f>
        <v>1.46</v>
      </c>
    </row>
    <row r="163" spans="1:10" x14ac:dyDescent="0.4">
      <c r="A163" s="2">
        <v>41090</v>
      </c>
      <c r="B163" s="3">
        <v>1854.01</v>
      </c>
      <c r="C163" s="3">
        <v>0.22</v>
      </c>
      <c r="D163" s="3">
        <v>-11.48</v>
      </c>
      <c r="E163" s="4">
        <v>1039830424</v>
      </c>
      <c r="F163">
        <v>3.54</v>
      </c>
      <c r="G163">
        <v>3.28</v>
      </c>
      <c r="H163">
        <v>1.45</v>
      </c>
      <c r="I163" s="9">
        <f>C163+H163</f>
        <v>1.67</v>
      </c>
      <c r="J163" s="9">
        <f>I163-C163</f>
        <v>1.45</v>
      </c>
    </row>
    <row r="164" spans="1:10" x14ac:dyDescent="0.4">
      <c r="A164" s="2">
        <v>41121</v>
      </c>
      <c r="B164" s="3">
        <v>1881.99</v>
      </c>
      <c r="C164" s="3">
        <v>1.51</v>
      </c>
      <c r="D164" s="3">
        <v>-11.78</v>
      </c>
      <c r="E164" s="4">
        <v>1056296961</v>
      </c>
      <c r="F164">
        <v>3.34</v>
      </c>
      <c r="G164">
        <v>3.01</v>
      </c>
      <c r="H164">
        <v>1.42</v>
      </c>
      <c r="I164" s="9">
        <f>C164+H164</f>
        <v>2.9299999999999997</v>
      </c>
      <c r="J164" s="9">
        <f>I164-C164</f>
        <v>1.4199999999999997</v>
      </c>
    </row>
    <row r="165" spans="1:10" x14ac:dyDescent="0.4">
      <c r="A165" s="2">
        <v>41152</v>
      </c>
      <c r="B165" s="3">
        <v>1905.12</v>
      </c>
      <c r="C165" s="3">
        <v>1.23</v>
      </c>
      <c r="D165" s="3">
        <v>1.33</v>
      </c>
      <c r="E165" s="4">
        <v>1069401099</v>
      </c>
      <c r="F165">
        <v>3.19</v>
      </c>
      <c r="G165">
        <v>2.84</v>
      </c>
      <c r="H165">
        <v>1.39</v>
      </c>
      <c r="I165" s="9">
        <f>C165+H165</f>
        <v>2.62</v>
      </c>
      <c r="J165" s="9">
        <f>I165-C165</f>
        <v>1.3900000000000001</v>
      </c>
    </row>
    <row r="166" spans="1:10" x14ac:dyDescent="0.4">
      <c r="A166" s="5">
        <v>41182</v>
      </c>
      <c r="B166" s="6">
        <v>1996.21</v>
      </c>
      <c r="C166" s="6">
        <v>4.17</v>
      </c>
      <c r="D166" s="6">
        <v>15.85</v>
      </c>
      <c r="E166" s="7">
        <v>1120037713</v>
      </c>
      <c r="F166">
        <v>3.14</v>
      </c>
      <c r="G166">
        <v>2.84</v>
      </c>
      <c r="H166">
        <v>1.33</v>
      </c>
      <c r="I166" s="9">
        <f>C166+H166</f>
        <v>5.5</v>
      </c>
      <c r="J166" s="9">
        <f>I166-C166</f>
        <v>1.33</v>
      </c>
    </row>
    <row r="167" spans="1:10" x14ac:dyDescent="0.4">
      <c r="A167" s="2">
        <v>41213</v>
      </c>
      <c r="B167" s="3">
        <v>1912.06</v>
      </c>
      <c r="C167" s="3">
        <v>-4.22</v>
      </c>
      <c r="D167" s="3">
        <v>0.16</v>
      </c>
      <c r="E167" s="4">
        <v>1073351472</v>
      </c>
      <c r="F167">
        <v>2.93</v>
      </c>
      <c r="G167">
        <v>2.8</v>
      </c>
      <c r="H167">
        <v>1.39</v>
      </c>
      <c r="I167" s="9">
        <f>C167+H167</f>
        <v>-2.83</v>
      </c>
      <c r="J167" s="9">
        <f>I167-C167</f>
        <v>1.3899999999999997</v>
      </c>
    </row>
    <row r="168" spans="1:10" x14ac:dyDescent="0.4">
      <c r="A168" s="2">
        <v>41243</v>
      </c>
      <c r="B168" s="3">
        <v>1932.9</v>
      </c>
      <c r="C168" s="3">
        <v>1.75</v>
      </c>
      <c r="D168" s="3">
        <v>4.62</v>
      </c>
      <c r="E168" s="4">
        <v>1086770031</v>
      </c>
      <c r="F168">
        <v>2.85</v>
      </c>
      <c r="G168">
        <v>2.8</v>
      </c>
      <c r="H168">
        <v>1.37</v>
      </c>
      <c r="I168" s="9">
        <f>C168+H168</f>
        <v>3.12</v>
      </c>
      <c r="J168" s="9">
        <f>I168-C168</f>
        <v>1.37</v>
      </c>
    </row>
    <row r="169" spans="1:10" x14ac:dyDescent="0.4">
      <c r="A169" s="2">
        <v>41274</v>
      </c>
      <c r="B169" s="3">
        <v>1997.05</v>
      </c>
      <c r="C169" s="3">
        <v>4.41</v>
      </c>
      <c r="D169" s="3">
        <v>9.42</v>
      </c>
      <c r="E169" s="4">
        <v>1123162157</v>
      </c>
      <c r="F169">
        <v>2.88</v>
      </c>
      <c r="G169">
        <v>2.81</v>
      </c>
      <c r="H169">
        <v>1.33</v>
      </c>
      <c r="I169" s="9">
        <f>C169+H169</f>
        <v>5.74</v>
      </c>
      <c r="J169" s="9">
        <f>I169-C169</f>
        <v>1.33</v>
      </c>
    </row>
    <row r="170" spans="1:10" x14ac:dyDescent="0.4">
      <c r="A170" s="2">
        <v>41305</v>
      </c>
      <c r="B170" s="3">
        <v>1961.94</v>
      </c>
      <c r="C170" s="3">
        <v>-1.76</v>
      </c>
      <c r="D170" s="3">
        <v>0.31</v>
      </c>
      <c r="E170" s="4">
        <v>1103590840</v>
      </c>
      <c r="F170">
        <v>2.86</v>
      </c>
      <c r="G170">
        <v>2.72</v>
      </c>
      <c r="H170">
        <v>1.35</v>
      </c>
      <c r="I170" s="9">
        <f>C170+H170</f>
        <v>-0.40999999999999992</v>
      </c>
      <c r="J170" s="9">
        <f>I170-C170</f>
        <v>1.35</v>
      </c>
    </row>
    <row r="171" spans="1:10" x14ac:dyDescent="0.4">
      <c r="A171" s="5">
        <v>41333</v>
      </c>
      <c r="B171" s="6">
        <v>2026.49</v>
      </c>
      <c r="C171" s="6">
        <v>4.47</v>
      </c>
      <c r="D171" s="6">
        <v>1.1399999999999999</v>
      </c>
      <c r="E171" s="7">
        <v>1141041099</v>
      </c>
      <c r="F171">
        <v>2.83</v>
      </c>
      <c r="G171">
        <v>2.69</v>
      </c>
      <c r="H171">
        <v>1.31</v>
      </c>
      <c r="I171" s="9">
        <f>C171+H171</f>
        <v>5.7799999999999994</v>
      </c>
      <c r="J171" s="9">
        <f>I171-C171</f>
        <v>1.3099999999999996</v>
      </c>
    </row>
    <row r="172" spans="1:10" x14ac:dyDescent="0.4">
      <c r="A172" s="2">
        <v>41364</v>
      </c>
      <c r="B172" s="3">
        <v>2004.89</v>
      </c>
      <c r="C172" s="3">
        <v>-1.07</v>
      </c>
      <c r="D172" s="3">
        <v>-0.47</v>
      </c>
      <c r="E172" s="4">
        <v>1128837604</v>
      </c>
      <c r="F172">
        <v>2.81</v>
      </c>
      <c r="G172">
        <v>2.61</v>
      </c>
      <c r="H172">
        <v>1.32</v>
      </c>
      <c r="I172" s="9">
        <f>C172+H172</f>
        <v>0.25</v>
      </c>
      <c r="J172" s="9">
        <f>I172-C172</f>
        <v>1.32</v>
      </c>
    </row>
    <row r="173" spans="1:10" x14ac:dyDescent="0.4">
      <c r="A173" s="2">
        <v>41394</v>
      </c>
      <c r="B173" s="3">
        <v>1963.95</v>
      </c>
      <c r="C173" s="3">
        <v>-2.04</v>
      </c>
      <c r="D173" s="3">
        <v>-0.91</v>
      </c>
      <c r="E173" s="4">
        <v>1103852271</v>
      </c>
      <c r="F173">
        <v>2.8</v>
      </c>
      <c r="G173">
        <v>2.58</v>
      </c>
      <c r="H173">
        <v>1.21</v>
      </c>
      <c r="I173" s="9">
        <f>C173+H173</f>
        <v>-0.83000000000000007</v>
      </c>
      <c r="J173" s="9">
        <f>I173-C173</f>
        <v>1.21</v>
      </c>
    </row>
    <row r="174" spans="1:10" x14ac:dyDescent="0.4">
      <c r="A174" s="2">
        <v>41425</v>
      </c>
      <c r="B174" s="3">
        <v>2001.05</v>
      </c>
      <c r="C174" s="3">
        <v>1.89</v>
      </c>
      <c r="D174" s="3">
        <v>8.5500000000000007</v>
      </c>
      <c r="E174" s="4">
        <v>1125863794</v>
      </c>
      <c r="F174">
        <v>2.72</v>
      </c>
      <c r="G174">
        <v>2.58</v>
      </c>
      <c r="H174">
        <v>1.18</v>
      </c>
      <c r="I174" s="9">
        <f>C174+H174</f>
        <v>3.07</v>
      </c>
      <c r="J174" s="9">
        <f>I174-C174</f>
        <v>1.18</v>
      </c>
    </row>
    <row r="175" spans="1:10" x14ac:dyDescent="0.4">
      <c r="A175" s="2">
        <v>41455</v>
      </c>
      <c r="B175" s="3">
        <v>1863.32</v>
      </c>
      <c r="C175" s="3">
        <v>-6.19</v>
      </c>
      <c r="D175" s="3">
        <v>2.4300000000000002</v>
      </c>
      <c r="E175" s="4">
        <v>1048586219</v>
      </c>
      <c r="F175">
        <v>2.69</v>
      </c>
      <c r="G175">
        <v>2.65</v>
      </c>
      <c r="H175">
        <v>1.27</v>
      </c>
      <c r="I175" s="9">
        <f>C175+H175</f>
        <v>-4.92</v>
      </c>
      <c r="J175" s="9">
        <f>I175-C175</f>
        <v>1.2700000000000005</v>
      </c>
    </row>
    <row r="176" spans="1:10" x14ac:dyDescent="0.4">
      <c r="A176" s="5">
        <v>41486</v>
      </c>
      <c r="B176" s="6">
        <v>1914.03</v>
      </c>
      <c r="C176" s="6">
        <v>2.72</v>
      </c>
      <c r="D176" s="6">
        <v>1.7</v>
      </c>
      <c r="E176" s="7">
        <v>1079544453</v>
      </c>
      <c r="F176">
        <v>2.68</v>
      </c>
      <c r="G176">
        <v>2.66</v>
      </c>
      <c r="H176">
        <v>1.21</v>
      </c>
      <c r="I176" s="9">
        <f>C176+H176</f>
        <v>3.93</v>
      </c>
      <c r="J176" s="9">
        <f>I176-C176</f>
        <v>1.21</v>
      </c>
    </row>
    <row r="177" spans="1:10" x14ac:dyDescent="0.4">
      <c r="A177" s="2">
        <v>41517</v>
      </c>
      <c r="B177" s="3">
        <v>1926.36</v>
      </c>
      <c r="C177" s="3">
        <v>0.49</v>
      </c>
      <c r="D177" s="3">
        <v>1.05</v>
      </c>
      <c r="E177" s="4">
        <v>1090567370</v>
      </c>
      <c r="F177">
        <v>2.66</v>
      </c>
      <c r="G177">
        <v>2.66</v>
      </c>
      <c r="H177">
        <v>1.2</v>
      </c>
      <c r="I177" s="9">
        <f>C177+H177</f>
        <v>1.69</v>
      </c>
      <c r="J177" s="9">
        <f>I177-C177</f>
        <v>1.2</v>
      </c>
    </row>
    <row r="178" spans="1:10" x14ac:dyDescent="0.4">
      <c r="A178" s="2">
        <v>41547</v>
      </c>
      <c r="B178" s="3">
        <v>1996.96</v>
      </c>
      <c r="C178" s="3">
        <v>3.66</v>
      </c>
      <c r="D178" s="3">
        <v>0.04</v>
      </c>
      <c r="E178" s="4">
        <v>1132104663</v>
      </c>
      <c r="F178">
        <v>2.66</v>
      </c>
      <c r="G178">
        <v>2.68</v>
      </c>
      <c r="H178">
        <v>1.1599999999999999</v>
      </c>
      <c r="I178" s="9">
        <f>C178+H178</f>
        <v>4.82</v>
      </c>
      <c r="J178" s="9">
        <f>I178-C178</f>
        <v>1.1600000000000001</v>
      </c>
    </row>
    <row r="179" spans="1:10" x14ac:dyDescent="0.4">
      <c r="A179" s="2">
        <v>41578</v>
      </c>
      <c r="B179" s="3">
        <v>2030.09</v>
      </c>
      <c r="C179" s="3">
        <v>1.66</v>
      </c>
      <c r="D179" s="3">
        <v>6.17</v>
      </c>
      <c r="E179" s="4">
        <v>1154498854</v>
      </c>
      <c r="F179">
        <v>2.66</v>
      </c>
      <c r="G179">
        <v>2.66</v>
      </c>
      <c r="H179">
        <v>1.1299999999999999</v>
      </c>
      <c r="I179" s="9">
        <f>C179+H179</f>
        <v>2.79</v>
      </c>
      <c r="J179" s="9">
        <f>I179-C179</f>
        <v>1.1300000000000001</v>
      </c>
    </row>
    <row r="180" spans="1:10" x14ac:dyDescent="0.4">
      <c r="A180" s="2">
        <v>41608</v>
      </c>
      <c r="B180" s="3">
        <v>2044.87</v>
      </c>
      <c r="C180" s="3">
        <v>-0.34</v>
      </c>
      <c r="D180" s="3">
        <v>5.69</v>
      </c>
      <c r="E180" s="4">
        <v>1163520777</v>
      </c>
      <c r="F180">
        <v>2.65</v>
      </c>
      <c r="G180">
        <v>2.6970000000000001</v>
      </c>
      <c r="H180">
        <v>1.1299999999999999</v>
      </c>
      <c r="I180" s="9">
        <f>C180+H180</f>
        <v>0.78999999999999981</v>
      </c>
      <c r="J180" s="9">
        <f>I180-C180</f>
        <v>1.1299999999999999</v>
      </c>
    </row>
    <row r="181" spans="1:10" x14ac:dyDescent="0.4">
      <c r="A181" s="5">
        <v>41639</v>
      </c>
      <c r="B181" s="6">
        <v>2011.34</v>
      </c>
      <c r="C181" s="6">
        <v>-1.64</v>
      </c>
      <c r="D181" s="6">
        <v>0.72</v>
      </c>
      <c r="E181" s="7">
        <v>1145228740</v>
      </c>
      <c r="F181">
        <v>2.65</v>
      </c>
      <c r="G181">
        <v>2.6989999999999998</v>
      </c>
      <c r="H181">
        <v>1.1399999999999999</v>
      </c>
      <c r="I181" s="9">
        <f>C181+H181</f>
        <v>-0.5</v>
      </c>
      <c r="J181" s="9">
        <f>I181-C181</f>
        <v>1.1399999999999999</v>
      </c>
    </row>
    <row r="182" spans="1:10" x14ac:dyDescent="0.4">
      <c r="A182" s="2">
        <v>41670</v>
      </c>
      <c r="B182" s="3">
        <v>1941.15</v>
      </c>
      <c r="C182" s="3">
        <v>-3.05</v>
      </c>
      <c r="D182" s="3">
        <v>-0.76</v>
      </c>
      <c r="E182" s="4">
        <v>1106793794</v>
      </c>
      <c r="F182">
        <v>2.65</v>
      </c>
      <c r="G182">
        <v>2.6629999999999998</v>
      </c>
      <c r="H182">
        <v>1.19</v>
      </c>
      <c r="I182" s="9">
        <f>C182+H182</f>
        <v>-1.8599999999999999</v>
      </c>
      <c r="J182" s="9">
        <f>I182-C182</f>
        <v>1.19</v>
      </c>
    </row>
    <row r="183" spans="1:10" x14ac:dyDescent="0.4">
      <c r="A183" s="2">
        <v>41698</v>
      </c>
      <c r="B183" s="3">
        <v>1979.99</v>
      </c>
      <c r="C183" s="3">
        <v>3.29</v>
      </c>
      <c r="D183" s="3">
        <v>-2.29</v>
      </c>
      <c r="E183" s="4">
        <v>1130269980</v>
      </c>
      <c r="F183">
        <v>2.65</v>
      </c>
      <c r="G183">
        <v>2.653</v>
      </c>
      <c r="H183">
        <v>1.1599999999999999</v>
      </c>
      <c r="I183" s="9">
        <f>C183+H183</f>
        <v>4.45</v>
      </c>
      <c r="J183" s="9">
        <f>I183-C183</f>
        <v>1.1600000000000001</v>
      </c>
    </row>
    <row r="184" spans="1:10" x14ac:dyDescent="0.4">
      <c r="A184" s="2">
        <v>41729</v>
      </c>
      <c r="B184" s="3">
        <v>1985.61</v>
      </c>
      <c r="C184" s="3">
        <v>0.28000000000000003</v>
      </c>
      <c r="D184" s="3">
        <v>-0.96</v>
      </c>
      <c r="E184" s="4">
        <v>1138936832</v>
      </c>
      <c r="F184">
        <v>2.65</v>
      </c>
      <c r="G184">
        <v>2.6669999999999998</v>
      </c>
      <c r="H184">
        <v>1.1599999999999999</v>
      </c>
      <c r="I184" s="9">
        <f>C184+H184</f>
        <v>1.44</v>
      </c>
      <c r="J184" s="9">
        <f>I184-C184</f>
        <v>1.1599999999999999</v>
      </c>
    </row>
    <row r="185" spans="1:10" x14ac:dyDescent="0.4">
      <c r="A185" s="2">
        <v>41759</v>
      </c>
      <c r="B185" s="3">
        <v>1961.79</v>
      </c>
      <c r="C185" s="3">
        <v>-0.97</v>
      </c>
      <c r="D185" s="3">
        <v>-0.11</v>
      </c>
      <c r="E185" s="4">
        <v>1125778439</v>
      </c>
      <c r="F185">
        <v>2.65</v>
      </c>
      <c r="G185">
        <v>2.6629999999999998</v>
      </c>
      <c r="H185">
        <v>1.1200000000000001</v>
      </c>
      <c r="I185" s="9">
        <f>C185+H185</f>
        <v>0.15000000000000013</v>
      </c>
      <c r="J185" s="9">
        <f>I185-C185</f>
        <v>1.1200000000000001</v>
      </c>
    </row>
    <row r="186" spans="1:10" x14ac:dyDescent="0.4">
      <c r="A186" s="5">
        <v>41790</v>
      </c>
      <c r="B186" s="6">
        <v>1994.96</v>
      </c>
      <c r="C186" s="6">
        <v>1.69</v>
      </c>
      <c r="D186" s="6">
        <v>-0.26</v>
      </c>
      <c r="E186" s="7">
        <v>1148445100</v>
      </c>
      <c r="F186">
        <v>2.65</v>
      </c>
      <c r="G186">
        <v>2.6589999999999998</v>
      </c>
      <c r="H186">
        <v>1.1000000000000001</v>
      </c>
      <c r="I186" s="9">
        <f>C186+H186</f>
        <v>2.79</v>
      </c>
      <c r="J186" s="9">
        <f>I186-C186</f>
        <v>1.1000000000000001</v>
      </c>
    </row>
    <row r="187" spans="1:10" x14ac:dyDescent="0.4">
      <c r="A187" s="2">
        <v>41820</v>
      </c>
      <c r="B187" s="3">
        <v>2002.21</v>
      </c>
      <c r="C187" s="3">
        <v>0.36</v>
      </c>
      <c r="D187" s="3">
        <v>7.45</v>
      </c>
      <c r="E187" s="4">
        <v>1152535341</v>
      </c>
      <c r="F187">
        <v>2.65</v>
      </c>
      <c r="G187">
        <v>2.6280000000000001</v>
      </c>
      <c r="H187">
        <v>1.0900000000000001</v>
      </c>
      <c r="I187" s="9">
        <f>C187+H187</f>
        <v>1.4500000000000002</v>
      </c>
      <c r="J187" s="9">
        <f>I187-C187</f>
        <v>1.0900000000000003</v>
      </c>
    </row>
    <row r="188" spans="1:10" x14ac:dyDescent="0.4">
      <c r="A188" s="2">
        <v>41851</v>
      </c>
      <c r="B188" s="3">
        <v>2076.12</v>
      </c>
      <c r="C188" s="3">
        <v>3.69</v>
      </c>
      <c r="D188" s="3">
        <v>8.4700000000000006</v>
      </c>
      <c r="E188" s="4">
        <v>1195291909</v>
      </c>
      <c r="F188">
        <v>2.65</v>
      </c>
      <c r="G188">
        <v>2.4929999999999999</v>
      </c>
      <c r="H188">
        <v>1.05</v>
      </c>
      <c r="I188" s="9">
        <f>C188+H188</f>
        <v>4.74</v>
      </c>
      <c r="J188" s="9">
        <f>I188-C188</f>
        <v>1.0500000000000003</v>
      </c>
    </row>
    <row r="189" spans="1:10" x14ac:dyDescent="0.4">
      <c r="A189" s="2">
        <v>41882</v>
      </c>
      <c r="B189" s="3">
        <v>2068.54</v>
      </c>
      <c r="C189" s="3">
        <v>0.32</v>
      </c>
      <c r="D189" s="3">
        <v>8.44</v>
      </c>
      <c r="E189" s="4">
        <v>1193626919</v>
      </c>
      <c r="F189">
        <v>2.52</v>
      </c>
      <c r="G189">
        <v>2.38</v>
      </c>
      <c r="H189">
        <v>1.05</v>
      </c>
      <c r="I189" s="9">
        <f>C189+H189</f>
        <v>1.37</v>
      </c>
      <c r="J189" s="9">
        <f>I189-C189</f>
        <v>1.05</v>
      </c>
    </row>
    <row r="190" spans="1:10" x14ac:dyDescent="0.4">
      <c r="A190" s="2">
        <v>41912</v>
      </c>
      <c r="B190" s="3">
        <v>2020.09</v>
      </c>
      <c r="C190" s="3">
        <v>-2.34</v>
      </c>
      <c r="D190" s="3">
        <v>1.1599999999999999</v>
      </c>
      <c r="E190" s="4">
        <v>1165871964</v>
      </c>
      <c r="F190">
        <v>2.35</v>
      </c>
      <c r="G190">
        <v>2.2799999999999998</v>
      </c>
      <c r="H190">
        <v>1.08</v>
      </c>
      <c r="I190" s="9">
        <f>C190+H190</f>
        <v>-1.2599999999999998</v>
      </c>
      <c r="J190" s="9">
        <f>I190-C190</f>
        <v>1.08</v>
      </c>
    </row>
    <row r="191" spans="1:10" x14ac:dyDescent="0.4">
      <c r="A191" s="5">
        <v>41943</v>
      </c>
      <c r="B191" s="6">
        <v>1964.43</v>
      </c>
      <c r="C191" s="6">
        <v>-2.76</v>
      </c>
      <c r="D191" s="6">
        <v>-3.23</v>
      </c>
      <c r="E191" s="7">
        <v>1134114554</v>
      </c>
      <c r="F191">
        <v>2.21</v>
      </c>
      <c r="G191">
        <v>2.1349999999999998</v>
      </c>
      <c r="H191">
        <v>1.1299999999999999</v>
      </c>
      <c r="I191" s="9">
        <f>C191+H191</f>
        <v>-1.63</v>
      </c>
      <c r="J191" s="9">
        <f>I191-C191</f>
        <v>1.1299999999999999</v>
      </c>
    </row>
    <row r="192" spans="1:10" x14ac:dyDescent="0.4">
      <c r="A192" s="2">
        <v>41973</v>
      </c>
      <c r="B192" s="3">
        <v>1980.78</v>
      </c>
      <c r="C192" s="3">
        <v>2.86</v>
      </c>
      <c r="D192" s="3">
        <v>-3.18</v>
      </c>
      <c r="E192" s="4">
        <v>1172705317</v>
      </c>
      <c r="F192">
        <v>2.14</v>
      </c>
      <c r="G192">
        <v>2.0470000000000002</v>
      </c>
      <c r="H192">
        <v>1.1100000000000001</v>
      </c>
      <c r="I192" s="9">
        <f>C192+H192</f>
        <v>3.9699999999999998</v>
      </c>
      <c r="J192" s="9">
        <f>I192-C192</f>
        <v>1.1099999999999999</v>
      </c>
    </row>
    <row r="193" spans="1:10" x14ac:dyDescent="0.4">
      <c r="A193" s="2">
        <v>42004</v>
      </c>
      <c r="B193" s="3">
        <v>1915.59</v>
      </c>
      <c r="C193" s="3">
        <v>-3.29</v>
      </c>
      <c r="D193" s="3">
        <v>-4.76</v>
      </c>
      <c r="E193" s="4">
        <v>1150015641</v>
      </c>
      <c r="F193">
        <v>2.13</v>
      </c>
      <c r="G193">
        <v>2.0870000000000002</v>
      </c>
      <c r="H193">
        <v>1.1299999999999999</v>
      </c>
      <c r="I193" s="9">
        <f>C193+H193</f>
        <v>-2.16</v>
      </c>
      <c r="J193" s="9">
        <f>I193-C193</f>
        <v>1.1299999999999999</v>
      </c>
    </row>
    <row r="194" spans="1:10" x14ac:dyDescent="0.4">
      <c r="A194" s="2">
        <v>42035</v>
      </c>
      <c r="B194" s="3">
        <v>1949.26</v>
      </c>
      <c r="C194" s="3">
        <v>1.76</v>
      </c>
      <c r="D194" s="3">
        <v>0.42</v>
      </c>
      <c r="E194" s="4">
        <v>1171741376</v>
      </c>
      <c r="F194">
        <v>2.13</v>
      </c>
      <c r="G194">
        <v>2.0009999999999999</v>
      </c>
      <c r="H194">
        <v>1.1100000000000001</v>
      </c>
      <c r="I194" s="9">
        <f>C194+H194</f>
        <v>2.87</v>
      </c>
      <c r="J194" s="9">
        <f>I194-C194</f>
        <v>1.1100000000000001</v>
      </c>
    </row>
    <row r="195" spans="1:10" x14ac:dyDescent="0.4">
      <c r="A195" s="2">
        <v>42063</v>
      </c>
      <c r="B195" s="3">
        <v>1985.8</v>
      </c>
      <c r="C195" s="3">
        <v>1.71</v>
      </c>
      <c r="D195" s="3">
        <v>0.37</v>
      </c>
      <c r="E195" s="4">
        <v>1194605362</v>
      </c>
      <c r="F195">
        <v>2.12</v>
      </c>
      <c r="G195">
        <v>1.984</v>
      </c>
      <c r="H195">
        <v>1.0900000000000001</v>
      </c>
      <c r="I195" s="9">
        <f>C195+H195</f>
        <v>2.8</v>
      </c>
      <c r="J195" s="9">
        <f>I195-C195</f>
        <v>1.0899999999999999</v>
      </c>
    </row>
    <row r="196" spans="1:10" x14ac:dyDescent="0.4">
      <c r="A196" s="5">
        <v>42094</v>
      </c>
      <c r="B196" s="6">
        <v>2041.03</v>
      </c>
      <c r="C196" s="6">
        <v>2.78</v>
      </c>
      <c r="D196" s="6">
        <v>2.79</v>
      </c>
      <c r="E196" s="7">
        <v>1229766197</v>
      </c>
      <c r="F196">
        <v>1.95</v>
      </c>
      <c r="G196">
        <v>1.8360000000000001</v>
      </c>
      <c r="H196">
        <v>1.06</v>
      </c>
      <c r="I196" s="9">
        <f>C196+H196</f>
        <v>3.84</v>
      </c>
      <c r="J196" s="9">
        <f>I196-C196</f>
        <v>1.06</v>
      </c>
    </row>
    <row r="197" spans="1:10" x14ac:dyDescent="0.4">
      <c r="A197" s="2">
        <v>42124</v>
      </c>
      <c r="B197" s="3">
        <v>2127.17</v>
      </c>
      <c r="C197" s="3">
        <v>4.78</v>
      </c>
      <c r="D197" s="3">
        <v>8.43</v>
      </c>
      <c r="E197" s="4">
        <v>1282325308</v>
      </c>
      <c r="F197">
        <v>1.81</v>
      </c>
      <c r="G197">
        <v>1.704</v>
      </c>
      <c r="H197">
        <v>1.02</v>
      </c>
      <c r="I197" s="9">
        <f>C197+H197</f>
        <v>5.8000000000000007</v>
      </c>
      <c r="J197" s="9">
        <f>I197-C197</f>
        <v>1.0200000000000005</v>
      </c>
    </row>
    <row r="198" spans="1:10" x14ac:dyDescent="0.4">
      <c r="A198" s="2">
        <v>42155</v>
      </c>
      <c r="B198" s="3">
        <v>2114.8000000000002</v>
      </c>
      <c r="C198" s="3">
        <v>-1.3</v>
      </c>
      <c r="D198" s="3">
        <v>5.0999999999999996</v>
      </c>
      <c r="E198" s="4">
        <v>1273735897</v>
      </c>
      <c r="F198">
        <v>1.8</v>
      </c>
      <c r="G198">
        <v>1.7430000000000001</v>
      </c>
      <c r="H198">
        <v>1.25</v>
      </c>
      <c r="I198" s="9">
        <f>C198+H198</f>
        <v>-5.0000000000000044E-2</v>
      </c>
      <c r="J198" s="9">
        <f>I198-C198</f>
        <v>1.25</v>
      </c>
    </row>
    <row r="199" spans="1:10" x14ac:dyDescent="0.4">
      <c r="A199" s="2">
        <v>42185</v>
      </c>
      <c r="B199" s="3">
        <v>2074.1999999999998</v>
      </c>
      <c r="C199" s="3">
        <v>-1.92</v>
      </c>
      <c r="D199" s="3">
        <v>3.6</v>
      </c>
      <c r="E199" s="4">
        <v>1251177147</v>
      </c>
      <c r="F199">
        <v>1.7</v>
      </c>
      <c r="G199">
        <v>1.6279999999999999</v>
      </c>
      <c r="H199">
        <v>1.28</v>
      </c>
      <c r="I199" s="9">
        <f>C199+H199</f>
        <v>-0.6399999999999999</v>
      </c>
      <c r="J199" s="9">
        <f>I199-C199</f>
        <v>1.28</v>
      </c>
    </row>
    <row r="200" spans="1:10" x14ac:dyDescent="0.4">
      <c r="A200" s="2">
        <v>42216</v>
      </c>
      <c r="B200" s="3">
        <v>2030.16</v>
      </c>
      <c r="C200" s="3">
        <v>-2.12</v>
      </c>
      <c r="D200" s="3">
        <v>-2.21</v>
      </c>
      <c r="E200" s="4">
        <v>1229655462</v>
      </c>
      <c r="F200">
        <v>1.65</v>
      </c>
      <c r="G200">
        <v>1.597</v>
      </c>
      <c r="H200">
        <v>1.3</v>
      </c>
      <c r="I200" s="9">
        <f>C200+H200</f>
        <v>-0.82000000000000006</v>
      </c>
      <c r="J200" s="9">
        <f>I200-C200</f>
        <v>1.3</v>
      </c>
    </row>
    <row r="201" spans="1:10" x14ac:dyDescent="0.4">
      <c r="A201" s="5">
        <v>42247</v>
      </c>
      <c r="B201" s="6">
        <v>1941.49</v>
      </c>
      <c r="C201" s="6">
        <v>-4.37</v>
      </c>
      <c r="D201" s="6">
        <v>-6.14</v>
      </c>
      <c r="E201" s="7">
        <v>1175119585</v>
      </c>
      <c r="F201">
        <v>1.64</v>
      </c>
      <c r="G201">
        <v>1.5840000000000001</v>
      </c>
      <c r="H201">
        <v>1.36</v>
      </c>
      <c r="I201" s="9">
        <f>C201+H201</f>
        <v>-3.01</v>
      </c>
      <c r="J201" s="9">
        <f>I201-C201</f>
        <v>1.3600000000000003</v>
      </c>
    </row>
    <row r="202" spans="1:10" x14ac:dyDescent="0.4">
      <c r="A202" s="2">
        <v>42277</v>
      </c>
      <c r="B202" s="3">
        <v>1962.81</v>
      </c>
      <c r="C202" s="3">
        <v>1.3</v>
      </c>
      <c r="D202" s="3">
        <v>-2.84</v>
      </c>
      <c r="E202" s="4">
        <v>1191903304</v>
      </c>
      <c r="F202">
        <v>1.6</v>
      </c>
      <c r="G202">
        <v>1.5549999999999999</v>
      </c>
      <c r="H202">
        <v>1.33</v>
      </c>
      <c r="I202" s="9">
        <f>C202+H202</f>
        <v>2.63</v>
      </c>
      <c r="J202" s="9">
        <f>I202-C202</f>
        <v>1.3299999999999998</v>
      </c>
    </row>
    <row r="203" spans="1:10" x14ac:dyDescent="0.4">
      <c r="A203" s="2">
        <v>42308</v>
      </c>
      <c r="B203" s="3">
        <v>2029.47</v>
      </c>
      <c r="C203" s="3">
        <v>3.4</v>
      </c>
      <c r="D203" s="3">
        <v>3.6</v>
      </c>
      <c r="E203" s="4">
        <v>1239205392</v>
      </c>
      <c r="F203">
        <v>1.58</v>
      </c>
      <c r="G203">
        <v>1.5489999999999999</v>
      </c>
      <c r="H203">
        <v>1.28</v>
      </c>
      <c r="I203" s="9">
        <f>C203+H203</f>
        <v>4.68</v>
      </c>
      <c r="J203" s="9">
        <f>I203-C203</f>
        <v>1.2799999999999998</v>
      </c>
    </row>
    <row r="204" spans="1:10" x14ac:dyDescent="0.4">
      <c r="A204" s="2">
        <v>42338</v>
      </c>
      <c r="B204" s="3">
        <v>1991.97</v>
      </c>
      <c r="C204" s="3">
        <v>-1.85</v>
      </c>
      <c r="D204" s="3">
        <v>0.56000000000000005</v>
      </c>
      <c r="E204" s="4">
        <v>1218004375</v>
      </c>
      <c r="F204">
        <v>1.59</v>
      </c>
      <c r="G204">
        <v>1.637</v>
      </c>
      <c r="H204">
        <v>1.31</v>
      </c>
      <c r="I204" s="9">
        <f>C204+H204</f>
        <v>-0.54</v>
      </c>
      <c r="J204" s="9">
        <f>I204-C204</f>
        <v>1.31</v>
      </c>
    </row>
    <row r="205" spans="1:10" x14ac:dyDescent="0.4">
      <c r="A205" s="2">
        <v>42369</v>
      </c>
      <c r="B205" s="3">
        <v>1961.31</v>
      </c>
      <c r="C205" s="3">
        <v>-1.54</v>
      </c>
      <c r="D205" s="3">
        <v>2.39</v>
      </c>
      <c r="E205" s="4">
        <v>1201330539</v>
      </c>
      <c r="F205">
        <v>1.67</v>
      </c>
      <c r="G205">
        <v>1.643</v>
      </c>
      <c r="H205">
        <v>1.33</v>
      </c>
      <c r="I205" s="9">
        <f>C205+H205</f>
        <v>-0.20999999999999996</v>
      </c>
      <c r="J205" s="9">
        <f>I205-C205</f>
        <v>1.33</v>
      </c>
    </row>
    <row r="206" spans="1:10" x14ac:dyDescent="0.4">
      <c r="A206" s="5">
        <v>42400</v>
      </c>
      <c r="B206" s="6">
        <v>1912.06</v>
      </c>
      <c r="C206" s="6">
        <v>-2.76</v>
      </c>
      <c r="D206" s="6">
        <v>-2</v>
      </c>
      <c r="E206" s="7">
        <v>1169350167</v>
      </c>
      <c r="F206">
        <v>1.67</v>
      </c>
      <c r="G206">
        <v>1.5880000000000001</v>
      </c>
      <c r="H206">
        <v>1.36</v>
      </c>
      <c r="I206" s="9">
        <f>C206+H206</f>
        <v>-1.3999999999999997</v>
      </c>
      <c r="J206" s="9">
        <f>I206-C206</f>
        <v>1.36</v>
      </c>
    </row>
    <row r="207" spans="1:10" x14ac:dyDescent="0.4">
      <c r="A207" s="2">
        <v>42429</v>
      </c>
      <c r="B207" s="3">
        <v>1916.66</v>
      </c>
      <c r="C207" s="3">
        <v>0.24</v>
      </c>
      <c r="D207" s="3">
        <v>-3.48</v>
      </c>
      <c r="E207" s="4">
        <v>1172906425</v>
      </c>
      <c r="F207">
        <v>1.64</v>
      </c>
      <c r="G207">
        <v>1.47</v>
      </c>
      <c r="H207">
        <v>1.36</v>
      </c>
      <c r="I207" s="9">
        <f>C207+H207</f>
        <v>1.6</v>
      </c>
      <c r="J207" s="9">
        <f>I207-C207</f>
        <v>1.36</v>
      </c>
    </row>
    <row r="208" spans="1:10" x14ac:dyDescent="0.4">
      <c r="A208" s="2">
        <v>42460</v>
      </c>
      <c r="B208" s="3">
        <v>1995.85</v>
      </c>
      <c r="C208" s="3">
        <v>4.13</v>
      </c>
      <c r="D208" s="3">
        <v>-2.21</v>
      </c>
      <c r="E208" s="4">
        <v>1221928196</v>
      </c>
      <c r="F208">
        <v>1.63</v>
      </c>
      <c r="G208">
        <v>1.5049999999999999</v>
      </c>
      <c r="H208">
        <v>1.3</v>
      </c>
      <c r="I208" s="9">
        <f>C208+H208</f>
        <v>5.43</v>
      </c>
      <c r="J208" s="9">
        <f>I208-C208</f>
        <v>1.2999999999999998</v>
      </c>
    </row>
    <row r="209" spans="1:10" x14ac:dyDescent="0.4">
      <c r="A209" s="2">
        <v>42490</v>
      </c>
      <c r="B209" s="3">
        <v>1994.15</v>
      </c>
      <c r="C209" s="3">
        <v>-0.04</v>
      </c>
      <c r="D209" s="3">
        <v>-6.93</v>
      </c>
      <c r="E209" s="4">
        <v>1221393613</v>
      </c>
      <c r="F209">
        <v>1.61</v>
      </c>
      <c r="G209">
        <v>1.494</v>
      </c>
      <c r="H209">
        <v>1.28</v>
      </c>
      <c r="I209" s="9">
        <f>C209+H209</f>
        <v>1.24</v>
      </c>
      <c r="J209" s="9">
        <f>I209-C209</f>
        <v>1.28</v>
      </c>
    </row>
    <row r="210" spans="1:10" x14ac:dyDescent="0.4">
      <c r="A210" s="2">
        <v>42521</v>
      </c>
      <c r="B210" s="3">
        <v>1983.4</v>
      </c>
      <c r="C210" s="3">
        <v>-0.54</v>
      </c>
      <c r="D210" s="3">
        <v>-6.21</v>
      </c>
      <c r="E210" s="4">
        <v>1214192405</v>
      </c>
      <c r="F210">
        <v>1.58</v>
      </c>
      <c r="G210">
        <v>1.4810000000000001</v>
      </c>
      <c r="H210">
        <v>1.68</v>
      </c>
      <c r="I210" s="9">
        <f>C210+H210</f>
        <v>1.1399999999999999</v>
      </c>
      <c r="J210" s="9">
        <f>I210-C210</f>
        <v>1.68</v>
      </c>
    </row>
    <row r="211" spans="1:10" x14ac:dyDescent="0.4">
      <c r="A211" s="5">
        <v>42551</v>
      </c>
      <c r="B211" s="6">
        <v>1970.35</v>
      </c>
      <c r="C211" s="6">
        <v>0.16</v>
      </c>
      <c r="D211" s="6">
        <v>-5.01</v>
      </c>
      <c r="E211" s="7">
        <v>1206974173</v>
      </c>
      <c r="F211">
        <v>1.43</v>
      </c>
      <c r="G211">
        <v>1.36</v>
      </c>
      <c r="H211">
        <v>1.69</v>
      </c>
      <c r="I211" s="9">
        <f>C211+H211</f>
        <v>1.8499999999999999</v>
      </c>
      <c r="J211" s="9">
        <f>I211-C211</f>
        <v>1.69</v>
      </c>
    </row>
    <row r="212" spans="1:10" x14ac:dyDescent="0.4">
      <c r="A212" s="2">
        <v>42582</v>
      </c>
      <c r="B212" s="3">
        <v>2016.19</v>
      </c>
      <c r="C212" s="3">
        <v>3.06</v>
      </c>
      <c r="D212" s="3">
        <v>-1.05</v>
      </c>
      <c r="E212" s="4">
        <v>1238968927</v>
      </c>
      <c r="F212">
        <v>1.36</v>
      </c>
      <c r="G212">
        <v>1.2589999999999999</v>
      </c>
      <c r="H212">
        <v>1.65</v>
      </c>
      <c r="I212" s="9">
        <f>C212+H212</f>
        <v>4.71</v>
      </c>
      <c r="J212" s="9">
        <f>I212-C212</f>
        <v>1.65</v>
      </c>
    </row>
    <row r="213" spans="1:10" x14ac:dyDescent="0.4">
      <c r="A213" s="2">
        <v>42613</v>
      </c>
      <c r="B213" s="3">
        <v>2034.65</v>
      </c>
      <c r="C213" s="3">
        <v>0.92</v>
      </c>
      <c r="D213" s="3">
        <v>4.8</v>
      </c>
      <c r="E213" s="4">
        <v>1251521492</v>
      </c>
      <c r="F213">
        <v>1.35</v>
      </c>
      <c r="G213">
        <v>1.266</v>
      </c>
      <c r="H213">
        <v>1.64</v>
      </c>
      <c r="I213" s="9">
        <f>C213+H213</f>
        <v>2.56</v>
      </c>
      <c r="J213" s="9">
        <f>I213-C213</f>
        <v>1.6400000000000001</v>
      </c>
    </row>
    <row r="214" spans="1:10" x14ac:dyDescent="0.4">
      <c r="A214" s="2">
        <v>42643</v>
      </c>
      <c r="B214" s="3">
        <v>2043.63</v>
      </c>
      <c r="C214" s="3">
        <v>0.19</v>
      </c>
      <c r="D214" s="3">
        <v>4.12</v>
      </c>
      <c r="E214" s="4">
        <v>1258681658</v>
      </c>
      <c r="F214">
        <v>1.34</v>
      </c>
      <c r="G214">
        <v>1.3280000000000001</v>
      </c>
      <c r="H214">
        <v>1.63</v>
      </c>
      <c r="I214" s="9">
        <f>C214+H214</f>
        <v>1.8199999999999998</v>
      </c>
      <c r="J214" s="9">
        <f>I214-C214</f>
        <v>1.63</v>
      </c>
    </row>
    <row r="215" spans="1:10" x14ac:dyDescent="0.4">
      <c r="A215" s="2">
        <v>42674</v>
      </c>
      <c r="B215" s="3">
        <v>2008.19</v>
      </c>
      <c r="C215" s="3">
        <v>-1.73</v>
      </c>
      <c r="D215" s="3">
        <v>-1.05</v>
      </c>
      <c r="E215" s="4">
        <v>1236220062</v>
      </c>
      <c r="F215">
        <v>1.35</v>
      </c>
      <c r="G215">
        <v>1.379</v>
      </c>
      <c r="H215">
        <v>1.56</v>
      </c>
      <c r="I215" s="9">
        <f>C215+H215</f>
        <v>-0.16999999999999993</v>
      </c>
      <c r="J215" s="9">
        <f>I215-C215</f>
        <v>1.56</v>
      </c>
    </row>
    <row r="216" spans="1:10" x14ac:dyDescent="0.4">
      <c r="A216" s="5">
        <v>42704</v>
      </c>
      <c r="B216" s="6">
        <v>1983.48</v>
      </c>
      <c r="C216" s="6">
        <v>-1.78</v>
      </c>
      <c r="D216" s="6">
        <v>-0.43</v>
      </c>
      <c r="E216" s="7">
        <v>1233975025</v>
      </c>
      <c r="F216">
        <v>1.42</v>
      </c>
      <c r="G216">
        <v>1.5169999999999999</v>
      </c>
      <c r="H216">
        <v>1.56</v>
      </c>
      <c r="I216" s="9">
        <f>C216+H216</f>
        <v>-0.21999999999999997</v>
      </c>
      <c r="J216" s="9">
        <f>I216-C216</f>
        <v>1.56</v>
      </c>
    </row>
    <row r="217" spans="1:10" x14ac:dyDescent="0.4">
      <c r="A217" s="2">
        <v>42735</v>
      </c>
      <c r="B217" s="3">
        <v>2026.46</v>
      </c>
      <c r="C217" s="3">
        <v>2.4300000000000002</v>
      </c>
      <c r="D217" s="3">
        <v>3.06</v>
      </c>
      <c r="E217" s="4">
        <v>1261425753</v>
      </c>
      <c r="F217">
        <v>1.54</v>
      </c>
      <c r="G217">
        <v>1.573</v>
      </c>
      <c r="H217">
        <v>1.52</v>
      </c>
      <c r="I217" s="9">
        <f>C217+H217</f>
        <v>3.95</v>
      </c>
      <c r="J217" s="9">
        <f>I217-C217</f>
        <v>1.52</v>
      </c>
    </row>
    <row r="218" spans="1:10" x14ac:dyDescent="0.4">
      <c r="A218" s="2">
        <v>42766</v>
      </c>
      <c r="B218" s="3">
        <v>2067.5700000000002</v>
      </c>
      <c r="C218" s="3">
        <v>2.0299999999999998</v>
      </c>
      <c r="D218" s="3">
        <v>8.1300000000000008</v>
      </c>
      <c r="E218" s="4">
        <v>1289876724</v>
      </c>
      <c r="F218">
        <v>1.5</v>
      </c>
      <c r="G218">
        <v>1.5</v>
      </c>
      <c r="H218">
        <v>1.49</v>
      </c>
      <c r="I218" s="9">
        <f>C218+H218</f>
        <v>3.5199999999999996</v>
      </c>
      <c r="J218" s="9">
        <f>I218-C218</f>
        <v>1.4899999999999998</v>
      </c>
    </row>
    <row r="219" spans="1:10" x14ac:dyDescent="0.4">
      <c r="A219" s="2">
        <v>42794</v>
      </c>
      <c r="B219" s="3">
        <v>2091.64</v>
      </c>
      <c r="C219" s="3">
        <v>0.39</v>
      </c>
      <c r="D219" s="3">
        <v>8.93</v>
      </c>
      <c r="E219" s="4">
        <v>1305155910</v>
      </c>
      <c r="F219">
        <v>1.49</v>
      </c>
      <c r="G219">
        <v>1.4650000000000001</v>
      </c>
      <c r="H219">
        <v>1.48</v>
      </c>
      <c r="I219" s="9">
        <f>C219+H219</f>
        <v>1.87</v>
      </c>
      <c r="J219" s="9">
        <f>I219-C219</f>
        <v>1.48</v>
      </c>
    </row>
    <row r="220" spans="1:10" x14ac:dyDescent="0.4">
      <c r="A220" s="2">
        <v>42825</v>
      </c>
      <c r="B220" s="3">
        <v>2160.23</v>
      </c>
      <c r="C220" s="3">
        <v>3.28</v>
      </c>
      <c r="D220" s="3">
        <v>8.24</v>
      </c>
      <c r="E220" s="4">
        <v>1350077831</v>
      </c>
      <c r="F220">
        <v>1.48</v>
      </c>
      <c r="G220">
        <v>1.4890000000000001</v>
      </c>
      <c r="H220">
        <v>1.43</v>
      </c>
      <c r="I220" s="9">
        <f>C220+H220</f>
        <v>4.71</v>
      </c>
      <c r="J220" s="9">
        <f>I220-C220</f>
        <v>1.4300000000000002</v>
      </c>
    </row>
    <row r="221" spans="1:10" x14ac:dyDescent="0.4">
      <c r="A221" s="5">
        <v>42855</v>
      </c>
      <c r="B221" s="6">
        <v>2205.44</v>
      </c>
      <c r="C221" s="6">
        <v>1.95</v>
      </c>
      <c r="D221" s="6">
        <v>10.220000000000001</v>
      </c>
      <c r="E221" s="7">
        <v>1377141502</v>
      </c>
      <c r="F221">
        <v>1.43</v>
      </c>
      <c r="G221">
        <v>1.472</v>
      </c>
      <c r="H221">
        <v>1.4</v>
      </c>
      <c r="I221" s="9">
        <f>C221+H221</f>
        <v>3.3499999999999996</v>
      </c>
      <c r="J221" s="9">
        <f>I221-C221</f>
        <v>1.3999999999999997</v>
      </c>
    </row>
    <row r="222" spans="1:10" x14ac:dyDescent="0.4">
      <c r="A222" s="2">
        <v>42886</v>
      </c>
      <c r="B222" s="3">
        <v>2347.38</v>
      </c>
      <c r="C222" s="3">
        <v>6.44</v>
      </c>
      <c r="D222" s="3">
        <v>18.350000000000001</v>
      </c>
      <c r="E222" s="4">
        <v>1466286786</v>
      </c>
      <c r="F222">
        <v>1.39</v>
      </c>
      <c r="G222">
        <v>1.4610000000000001</v>
      </c>
      <c r="H222">
        <v>1.44</v>
      </c>
      <c r="I222" s="9">
        <f>C222+H222</f>
        <v>7.8800000000000008</v>
      </c>
      <c r="J222" s="9">
        <f>I222-C222</f>
        <v>1.4400000000000004</v>
      </c>
    </row>
    <row r="223" spans="1:10" x14ac:dyDescent="0.4">
      <c r="A223" s="2">
        <v>42916</v>
      </c>
      <c r="B223" s="3">
        <v>2391.79</v>
      </c>
      <c r="C223" s="3">
        <v>2.0499999999999998</v>
      </c>
      <c r="D223" s="3">
        <v>21.39</v>
      </c>
      <c r="E223" s="4">
        <v>1493957232</v>
      </c>
      <c r="F223">
        <v>1.38</v>
      </c>
      <c r="G223">
        <v>1.462</v>
      </c>
      <c r="H223">
        <v>1.42</v>
      </c>
      <c r="I223" s="9">
        <f>C223+H223</f>
        <v>3.4699999999999998</v>
      </c>
      <c r="J223" s="9">
        <f>I223-C223</f>
        <v>1.42</v>
      </c>
    </row>
    <row r="224" spans="1:10" x14ac:dyDescent="0.4">
      <c r="A224" s="2">
        <v>42947</v>
      </c>
      <c r="B224" s="3">
        <v>2402.71</v>
      </c>
      <c r="C224" s="3">
        <v>0.46</v>
      </c>
      <c r="D224" s="3">
        <v>19.170000000000002</v>
      </c>
      <c r="E224" s="4">
        <v>1505101498</v>
      </c>
      <c r="F224">
        <v>1.39</v>
      </c>
      <c r="G224">
        <v>1.4550000000000001</v>
      </c>
      <c r="H224">
        <v>1.41</v>
      </c>
      <c r="I224" s="9">
        <f>C224+H224</f>
        <v>1.8699999999999999</v>
      </c>
      <c r="J224" s="9">
        <f>I224-C224</f>
        <v>1.41</v>
      </c>
    </row>
    <row r="225" spans="1:10" x14ac:dyDescent="0.4">
      <c r="A225" s="2">
        <v>42978</v>
      </c>
      <c r="B225" s="3">
        <v>2363.19</v>
      </c>
      <c r="C225" s="3">
        <v>-1.64</v>
      </c>
      <c r="D225" s="3">
        <v>16.149999999999999</v>
      </c>
      <c r="E225" s="4">
        <v>1481403093</v>
      </c>
      <c r="F225">
        <v>1.39</v>
      </c>
      <c r="G225">
        <v>1.4710000000000001</v>
      </c>
      <c r="H225">
        <v>1.43</v>
      </c>
      <c r="I225" s="9">
        <f>C225+H225</f>
        <v>-0.20999999999999996</v>
      </c>
      <c r="J225" s="9">
        <f>I225-C225</f>
        <v>1.43</v>
      </c>
    </row>
    <row r="226" spans="1:10" x14ac:dyDescent="0.4">
      <c r="A226" s="5">
        <v>43008</v>
      </c>
      <c r="B226" s="6">
        <v>2394.4699999999998</v>
      </c>
      <c r="C226" s="6">
        <v>1.26</v>
      </c>
      <c r="D226" s="6">
        <v>15.75</v>
      </c>
      <c r="E226" s="7">
        <v>1502396198</v>
      </c>
      <c r="F226">
        <v>1.38</v>
      </c>
      <c r="G226">
        <v>1.488</v>
      </c>
      <c r="H226">
        <v>1.4</v>
      </c>
      <c r="I226" s="9">
        <f>C226+H226</f>
        <v>2.66</v>
      </c>
      <c r="J226" s="9">
        <f>I226-C226</f>
        <v>1.4000000000000001</v>
      </c>
    </row>
    <row r="227" spans="1:10" x14ac:dyDescent="0.4">
      <c r="A227" s="2">
        <v>43039</v>
      </c>
      <c r="B227" s="3">
        <v>2523.4299999999998</v>
      </c>
      <c r="C227" s="3">
        <v>5.39</v>
      </c>
      <c r="D227" s="3">
        <v>25.66</v>
      </c>
      <c r="E227" s="4">
        <v>1581882498</v>
      </c>
      <c r="F227">
        <v>1.38</v>
      </c>
      <c r="G227">
        <v>1.649</v>
      </c>
      <c r="H227">
        <v>1.33</v>
      </c>
      <c r="I227" s="9">
        <f>C227+H227</f>
        <v>6.72</v>
      </c>
      <c r="J227" s="9">
        <f>I227-C227</f>
        <v>1.33</v>
      </c>
    </row>
    <row r="228" spans="1:10" x14ac:dyDescent="0.4">
      <c r="A228" s="2">
        <v>43069</v>
      </c>
      <c r="B228" s="3">
        <v>2476.37</v>
      </c>
      <c r="C228" s="3">
        <v>-1.02</v>
      </c>
      <c r="D228" s="3">
        <v>24.85</v>
      </c>
      <c r="E228" s="4">
        <v>1551609413</v>
      </c>
      <c r="F228">
        <v>1.45</v>
      </c>
      <c r="G228">
        <v>1.7849999999999999</v>
      </c>
      <c r="H228">
        <v>1.35</v>
      </c>
      <c r="I228" s="9">
        <f>C228+H228</f>
        <v>0.33000000000000007</v>
      </c>
      <c r="J228" s="9">
        <f>I228-C228</f>
        <v>1.35</v>
      </c>
    </row>
    <row r="229" spans="1:10" x14ac:dyDescent="0.4">
      <c r="A229" s="2">
        <v>43100</v>
      </c>
      <c r="B229" s="3">
        <v>2467.4899999999998</v>
      </c>
      <c r="C229" s="3">
        <v>-1.86</v>
      </c>
      <c r="D229" s="3">
        <v>21.88</v>
      </c>
      <c r="E229" s="4">
        <v>1549190374</v>
      </c>
      <c r="F229">
        <v>1.66</v>
      </c>
      <c r="G229">
        <v>1.833</v>
      </c>
      <c r="H229">
        <v>1.36</v>
      </c>
      <c r="I229" s="9">
        <f>C229+H229</f>
        <v>-0.5</v>
      </c>
      <c r="J229" s="9">
        <f>I229-C229</f>
        <v>1.36</v>
      </c>
    </row>
    <row r="230" spans="1:10" x14ac:dyDescent="0.4">
      <c r="A230" s="2">
        <v>43131</v>
      </c>
      <c r="B230" s="3">
        <v>2566.46</v>
      </c>
      <c r="C230" s="3">
        <v>4.01</v>
      </c>
      <c r="D230" s="3">
        <v>24.13</v>
      </c>
      <c r="E230" s="4">
        <v>1612671308</v>
      </c>
      <c r="F230">
        <v>1.66</v>
      </c>
      <c r="G230">
        <v>1.8380000000000001</v>
      </c>
      <c r="H230">
        <v>1.31</v>
      </c>
      <c r="I230" s="9">
        <f>C230+H230</f>
        <v>5.32</v>
      </c>
      <c r="J230" s="9">
        <f>I230-C230</f>
        <v>1.3100000000000005</v>
      </c>
    </row>
    <row r="231" spans="1:10" x14ac:dyDescent="0.4">
      <c r="A231" s="5">
        <v>43159</v>
      </c>
      <c r="B231" s="6">
        <v>2427.36</v>
      </c>
      <c r="C231" s="6">
        <v>-5.72</v>
      </c>
      <c r="D231" s="6">
        <v>16.05</v>
      </c>
      <c r="E231" s="7">
        <v>1559869754</v>
      </c>
      <c r="F231">
        <v>1.65</v>
      </c>
      <c r="G231">
        <v>1.8560000000000001</v>
      </c>
      <c r="H231">
        <v>1.35</v>
      </c>
      <c r="I231" s="9">
        <f>C231+H231</f>
        <v>-4.3699999999999992</v>
      </c>
      <c r="J231" s="9">
        <f>I231-C231</f>
        <v>1.3500000000000005</v>
      </c>
    </row>
    <row r="232" spans="1:10" x14ac:dyDescent="0.4">
      <c r="A232" s="2">
        <v>43190</v>
      </c>
      <c r="B232" s="3">
        <v>2445.85</v>
      </c>
      <c r="C232" s="3">
        <v>0.76</v>
      </c>
      <c r="D232" s="3">
        <v>12.99</v>
      </c>
      <c r="E232" s="4">
        <v>1574490159</v>
      </c>
      <c r="F232">
        <v>1.65</v>
      </c>
      <c r="G232">
        <v>1.8939999999999999</v>
      </c>
      <c r="H232">
        <v>1.34</v>
      </c>
      <c r="I232" s="9">
        <f>C232+H232</f>
        <v>2.1</v>
      </c>
      <c r="J232" s="9">
        <f>I232-C232</f>
        <v>1.34</v>
      </c>
    </row>
    <row r="233" spans="1:10" x14ac:dyDescent="0.4">
      <c r="A233" s="2">
        <v>43220</v>
      </c>
      <c r="B233" s="3">
        <v>2515.38</v>
      </c>
      <c r="C233" s="3">
        <v>2.84</v>
      </c>
      <c r="D233" s="3">
        <v>14.05</v>
      </c>
      <c r="E233" s="4">
        <v>1622750797</v>
      </c>
      <c r="F233">
        <v>1.65</v>
      </c>
      <c r="G233">
        <v>1.871</v>
      </c>
      <c r="H233">
        <v>1.3</v>
      </c>
      <c r="I233" s="9">
        <f>C233+H233</f>
        <v>4.1399999999999997</v>
      </c>
      <c r="J233" s="9">
        <f>I233-C233</f>
        <v>1.2999999999999998</v>
      </c>
    </row>
    <row r="234" spans="1:10" x14ac:dyDescent="0.4">
      <c r="A234" s="2">
        <v>43251</v>
      </c>
      <c r="B234" s="3">
        <v>2423.0100000000002</v>
      </c>
      <c r="C234" s="3">
        <v>-3.67</v>
      </c>
      <c r="D234" s="3">
        <v>3.22</v>
      </c>
      <c r="E234" s="4">
        <v>1563533696</v>
      </c>
      <c r="F234">
        <v>1.65</v>
      </c>
      <c r="G234">
        <v>1.887</v>
      </c>
      <c r="H234">
        <v>1.61</v>
      </c>
      <c r="I234" s="9">
        <f>C234+H234</f>
        <v>-2.0599999999999996</v>
      </c>
      <c r="J234" s="9">
        <f>I234-C234</f>
        <v>1.6100000000000003</v>
      </c>
    </row>
    <row r="235" spans="1:10" x14ac:dyDescent="0.4">
      <c r="A235" s="2">
        <v>43281</v>
      </c>
      <c r="B235" s="3">
        <v>2326.13</v>
      </c>
      <c r="C235" s="3">
        <v>-5.34</v>
      </c>
      <c r="D235" s="3">
        <v>-2.9</v>
      </c>
      <c r="E235" s="4">
        <v>1502563375</v>
      </c>
      <c r="F235">
        <v>1.65</v>
      </c>
      <c r="G235">
        <v>1.8580000000000001</v>
      </c>
      <c r="H235">
        <v>1.67</v>
      </c>
      <c r="I235" s="9">
        <f>C235+H235</f>
        <v>-3.67</v>
      </c>
      <c r="J235" s="9">
        <f>I235-C235</f>
        <v>1.67</v>
      </c>
    </row>
    <row r="236" spans="1:10" x14ac:dyDescent="0.4">
      <c r="A236" s="5">
        <v>43312</v>
      </c>
      <c r="B236" s="6">
        <v>2295.2600000000002</v>
      </c>
      <c r="C236" s="6">
        <v>-1.33</v>
      </c>
      <c r="D236" s="6">
        <v>-4.47</v>
      </c>
      <c r="E236" s="7">
        <v>1483418237</v>
      </c>
      <c r="F236">
        <v>1.65</v>
      </c>
      <c r="G236">
        <v>1.8480000000000001</v>
      </c>
      <c r="H236">
        <v>1.7</v>
      </c>
      <c r="I236" s="9">
        <f>C236+H236</f>
        <v>0.36999999999999988</v>
      </c>
      <c r="J236" s="9">
        <f>I236-C236</f>
        <v>1.7</v>
      </c>
    </row>
    <row r="237" spans="1:10" x14ac:dyDescent="0.4">
      <c r="A237" s="2">
        <v>43343</v>
      </c>
      <c r="B237" s="3">
        <v>2322.88</v>
      </c>
      <c r="C237" s="3">
        <v>1.2</v>
      </c>
      <c r="D237" s="3">
        <v>-1.71</v>
      </c>
      <c r="E237" s="4">
        <v>1501467066</v>
      </c>
      <c r="F237">
        <v>1.65</v>
      </c>
      <c r="G237">
        <v>1.8360000000000001</v>
      </c>
      <c r="H237">
        <v>1.68</v>
      </c>
      <c r="I237" s="9">
        <f>C237+H237</f>
        <v>2.88</v>
      </c>
      <c r="J237" s="9">
        <f>I237-C237</f>
        <v>1.68</v>
      </c>
    </row>
    <row r="238" spans="1:10" x14ac:dyDescent="0.4">
      <c r="A238" s="2">
        <v>43373</v>
      </c>
      <c r="B238" s="3">
        <v>2343.0700000000002</v>
      </c>
      <c r="C238" s="3">
        <v>1.73</v>
      </c>
      <c r="D238" s="3">
        <v>-1.27</v>
      </c>
      <c r="E238" s="4">
        <v>1515766770</v>
      </c>
      <c r="F238">
        <v>1.65</v>
      </c>
      <c r="G238">
        <v>1.82</v>
      </c>
      <c r="H238">
        <v>1.66</v>
      </c>
      <c r="I238" s="9">
        <f>C238+H238</f>
        <v>3.3899999999999997</v>
      </c>
      <c r="J238" s="9">
        <f>I238-C238</f>
        <v>1.6599999999999997</v>
      </c>
    </row>
    <row r="239" spans="1:10" x14ac:dyDescent="0.4">
      <c r="A239" s="2">
        <v>43404</v>
      </c>
      <c r="B239" s="3">
        <v>2029.69</v>
      </c>
      <c r="C239" s="3">
        <v>-13.37</v>
      </c>
      <c r="D239" s="3">
        <v>-19.57</v>
      </c>
      <c r="E239" s="4">
        <v>1313985132</v>
      </c>
      <c r="F239">
        <v>1.68</v>
      </c>
      <c r="G239">
        <v>1.901</v>
      </c>
      <c r="H239">
        <v>1.91</v>
      </c>
      <c r="I239" s="9">
        <f>C239+H239</f>
        <v>-11.459999999999999</v>
      </c>
      <c r="J239" s="9">
        <f>I239-C239</f>
        <v>1.9100000000000001</v>
      </c>
    </row>
    <row r="240" spans="1:10" x14ac:dyDescent="0.4">
      <c r="A240" s="2">
        <v>43434</v>
      </c>
      <c r="B240" s="3">
        <v>2096.86</v>
      </c>
      <c r="C240" s="3">
        <v>4.08</v>
      </c>
      <c r="D240" s="3">
        <v>-15.33</v>
      </c>
      <c r="E240" s="4">
        <v>1358220525</v>
      </c>
      <c r="F240">
        <v>1.71</v>
      </c>
      <c r="G240">
        <v>1.8959999999999999</v>
      </c>
      <c r="H240">
        <v>1.85</v>
      </c>
      <c r="I240" s="9">
        <f>C240+H240</f>
        <v>5.93</v>
      </c>
      <c r="J240" s="9">
        <f>I240-C240</f>
        <v>1.8499999999999996</v>
      </c>
    </row>
    <row r="241" spans="1:10" x14ac:dyDescent="0.4">
      <c r="A241" s="5">
        <v>43465</v>
      </c>
      <c r="B241" s="6">
        <v>2041.04</v>
      </c>
      <c r="C241" s="6">
        <v>-3.19</v>
      </c>
      <c r="D241" s="6">
        <v>-17.28</v>
      </c>
      <c r="E241" s="7">
        <v>1303744982</v>
      </c>
      <c r="F241">
        <v>1.91</v>
      </c>
      <c r="G241">
        <v>1.8540000000000001</v>
      </c>
      <c r="H241">
        <v>1.93</v>
      </c>
      <c r="I241" s="9">
        <f>C241+H241</f>
        <v>-1.26</v>
      </c>
      <c r="J241" s="9">
        <f>I241-C241</f>
        <v>1.93</v>
      </c>
    </row>
    <row r="242" spans="1:10" x14ac:dyDescent="0.4">
      <c r="A242" s="2">
        <v>43496</v>
      </c>
      <c r="B242" s="3">
        <v>2204.85</v>
      </c>
      <c r="C242" s="3">
        <v>8.0299999999999994</v>
      </c>
      <c r="D242" s="3">
        <v>-14.09</v>
      </c>
      <c r="E242" s="4">
        <v>1409035224</v>
      </c>
      <c r="F242">
        <v>1.87</v>
      </c>
      <c r="G242">
        <v>1.8080000000000001</v>
      </c>
      <c r="H242">
        <v>1.78</v>
      </c>
      <c r="I242" s="9">
        <f>C242+H242</f>
        <v>9.8099999999999987</v>
      </c>
      <c r="J242" s="9">
        <f>I242-C242</f>
        <v>1.7799999999999994</v>
      </c>
    </row>
    <row r="243" spans="1:10" x14ac:dyDescent="0.4">
      <c r="A243" s="2">
        <v>43524</v>
      </c>
      <c r="B243" s="3">
        <v>2195.44</v>
      </c>
      <c r="C243" s="3">
        <v>0.83</v>
      </c>
      <c r="D243" s="3">
        <v>-9.5500000000000007</v>
      </c>
      <c r="E243" s="4">
        <v>1403287264</v>
      </c>
      <c r="F243">
        <v>1.87</v>
      </c>
      <c r="G243">
        <v>1.831</v>
      </c>
      <c r="H243">
        <v>1.77</v>
      </c>
      <c r="I243" s="9">
        <f>C243+H243</f>
        <v>2.6</v>
      </c>
      <c r="J243" s="9">
        <f>I243-C243</f>
        <v>1.77</v>
      </c>
    </row>
    <row r="244" spans="1:10" x14ac:dyDescent="0.4">
      <c r="A244" s="2">
        <v>43555</v>
      </c>
      <c r="B244" s="3">
        <v>2140.67</v>
      </c>
      <c r="C244" s="3">
        <v>-2.4900000000000002</v>
      </c>
      <c r="D244" s="3">
        <v>-12.14</v>
      </c>
      <c r="E244" s="4">
        <v>1372863259</v>
      </c>
      <c r="F244">
        <v>1.9</v>
      </c>
      <c r="G244">
        <v>1.831</v>
      </c>
      <c r="H244">
        <v>1.81</v>
      </c>
      <c r="I244" s="9">
        <f>C244+H244</f>
        <v>-0.68000000000000016</v>
      </c>
      <c r="J244" s="9">
        <f>I244-C244</f>
        <v>1.81</v>
      </c>
    </row>
    <row r="245" spans="1:10" x14ac:dyDescent="0.4">
      <c r="A245" s="2">
        <v>43585</v>
      </c>
      <c r="B245" s="3">
        <v>2203.59</v>
      </c>
      <c r="C245" s="3">
        <v>2.94</v>
      </c>
      <c r="D245" s="3">
        <v>-12.4</v>
      </c>
      <c r="E245" s="4">
        <v>1414162449</v>
      </c>
      <c r="F245">
        <v>1.86</v>
      </c>
      <c r="G245">
        <v>1.77</v>
      </c>
      <c r="H245">
        <v>1.76</v>
      </c>
      <c r="I245" s="9">
        <f>C245+H245</f>
        <v>4.7</v>
      </c>
      <c r="J245" s="9">
        <f>I245-C245</f>
        <v>1.7600000000000002</v>
      </c>
    </row>
    <row r="246" spans="1:10" x14ac:dyDescent="0.4">
      <c r="A246" s="5">
        <v>43616</v>
      </c>
      <c r="B246" s="6">
        <v>2041.74</v>
      </c>
      <c r="C246" s="6">
        <v>-7.34</v>
      </c>
      <c r="D246" s="6">
        <v>-15.74</v>
      </c>
      <c r="E246" s="7">
        <v>1313647539</v>
      </c>
      <c r="F246">
        <v>1.84</v>
      </c>
      <c r="G246">
        <v>1.7150000000000001</v>
      </c>
      <c r="H246">
        <v>2.2000000000000002</v>
      </c>
      <c r="I246" s="9">
        <f>C246+H246</f>
        <v>-5.14</v>
      </c>
      <c r="J246" s="9">
        <f>I246-C246</f>
        <v>2.2000000000000002</v>
      </c>
    </row>
    <row r="247" spans="1:10" x14ac:dyDescent="0.4">
      <c r="A247" s="2">
        <v>43646</v>
      </c>
      <c r="B247" s="3">
        <v>2130.62</v>
      </c>
      <c r="C247" s="3">
        <v>3.99</v>
      </c>
      <c r="D247" s="3">
        <v>-7.93</v>
      </c>
      <c r="E247" s="4">
        <v>1371249111</v>
      </c>
      <c r="F247">
        <v>1.8</v>
      </c>
      <c r="G247">
        <v>1.5660000000000001</v>
      </c>
      <c r="H247">
        <v>2.09</v>
      </c>
      <c r="I247" s="9">
        <f>C247+H247</f>
        <v>6.08</v>
      </c>
      <c r="J247" s="9">
        <f>I247-C247</f>
        <v>2.09</v>
      </c>
    </row>
    <row r="248" spans="1:10" x14ac:dyDescent="0.4">
      <c r="A248" s="2">
        <v>43677</v>
      </c>
      <c r="B248" s="3">
        <v>2024.55</v>
      </c>
      <c r="C248" s="3">
        <v>-4.9800000000000004</v>
      </c>
      <c r="D248" s="3">
        <v>-11.79</v>
      </c>
      <c r="E248" s="4">
        <v>1303275214</v>
      </c>
      <c r="F248">
        <v>1.68</v>
      </c>
      <c r="G248">
        <v>1.4670000000000001</v>
      </c>
      <c r="H248">
        <v>2.2000000000000002</v>
      </c>
      <c r="I248" s="9">
        <f>C248+H248</f>
        <v>-2.7800000000000002</v>
      </c>
      <c r="J248" s="9">
        <f>I248-C248</f>
        <v>2.2000000000000002</v>
      </c>
    </row>
    <row r="249" spans="1:10" x14ac:dyDescent="0.4">
      <c r="A249" s="2">
        <v>43708</v>
      </c>
      <c r="B249" s="3">
        <v>1967.79</v>
      </c>
      <c r="C249" s="3">
        <v>-3.48</v>
      </c>
      <c r="D249" s="3">
        <v>-14.72</v>
      </c>
      <c r="E249" s="4">
        <v>1267009826</v>
      </c>
      <c r="F249">
        <v>1.49</v>
      </c>
      <c r="G249">
        <v>1.2170000000000001</v>
      </c>
      <c r="H249">
        <v>2.2599999999999998</v>
      </c>
      <c r="I249" s="9">
        <f>C249+H249</f>
        <v>-1.2200000000000002</v>
      </c>
      <c r="J249" s="9">
        <f>I249-C249</f>
        <v>2.2599999999999998</v>
      </c>
    </row>
    <row r="250" spans="1:10" x14ac:dyDescent="0.4">
      <c r="A250" s="2">
        <v>43738</v>
      </c>
      <c r="B250" s="3">
        <v>2063.0500000000002</v>
      </c>
      <c r="C250" s="3">
        <v>4.84</v>
      </c>
      <c r="D250" s="3">
        <v>-11.95</v>
      </c>
      <c r="E250" s="4">
        <v>1330523879</v>
      </c>
      <c r="F250">
        <v>1.54</v>
      </c>
      <c r="G250">
        <v>1.2869999999999999</v>
      </c>
      <c r="H250">
        <v>2.16</v>
      </c>
      <c r="I250" s="9">
        <f>C250+H250</f>
        <v>7</v>
      </c>
      <c r="J250" s="9">
        <f>I250-C250</f>
        <v>2.16</v>
      </c>
    </row>
    <row r="251" spans="1:10" x14ac:dyDescent="0.4">
      <c r="A251" s="5">
        <v>43769</v>
      </c>
      <c r="B251" s="6">
        <v>2083.48</v>
      </c>
      <c r="C251" s="6">
        <v>0.99</v>
      </c>
      <c r="D251" s="6">
        <v>2.65</v>
      </c>
      <c r="E251" s="7">
        <v>1346832519</v>
      </c>
      <c r="F251">
        <v>1.46</v>
      </c>
      <c r="G251">
        <v>1.3340000000000001</v>
      </c>
      <c r="H251">
        <v>2.13</v>
      </c>
      <c r="I251" s="9">
        <f>C251+H251</f>
        <v>3.12</v>
      </c>
      <c r="J251" s="9">
        <f>I251-C251</f>
        <v>2.13</v>
      </c>
    </row>
    <row r="252" spans="1:10" x14ac:dyDescent="0.4">
      <c r="A252" s="2">
        <v>43799</v>
      </c>
      <c r="B252" s="3">
        <v>2087.96</v>
      </c>
      <c r="C252" s="3">
        <v>-0.23</v>
      </c>
      <c r="D252" s="3">
        <v>-1.24</v>
      </c>
      <c r="E252" s="4">
        <v>1351982212</v>
      </c>
      <c r="F252">
        <v>1.52</v>
      </c>
      <c r="G252">
        <v>1.421</v>
      </c>
      <c r="H252">
        <v>2.13</v>
      </c>
      <c r="I252" s="9">
        <f>C252+H252</f>
        <v>1.9</v>
      </c>
      <c r="J252" s="9">
        <f>I252-C252</f>
        <v>2.13</v>
      </c>
    </row>
    <row r="253" spans="1:10" x14ac:dyDescent="0.4">
      <c r="A253" s="2">
        <v>43830</v>
      </c>
      <c r="B253" s="3">
        <v>2197.67</v>
      </c>
      <c r="C253" s="3">
        <v>5.25</v>
      </c>
      <c r="D253" s="3">
        <v>7.67</v>
      </c>
      <c r="E253" s="4">
        <v>1423110422</v>
      </c>
      <c r="F253">
        <v>1.53</v>
      </c>
      <c r="G253">
        <v>1.379</v>
      </c>
      <c r="H253">
        <v>2.02</v>
      </c>
      <c r="I253" s="9">
        <f>C253+H253</f>
        <v>7.27</v>
      </c>
      <c r="J253" s="9">
        <f>I253-C253</f>
        <v>2.0199999999999996</v>
      </c>
    </row>
    <row r="254" spans="1:10" x14ac:dyDescent="0.4">
      <c r="A254" s="2">
        <v>43861</v>
      </c>
      <c r="B254" s="3">
        <v>2119.0100000000002</v>
      </c>
      <c r="C254" s="3">
        <v>-3.58</v>
      </c>
      <c r="D254" s="3">
        <v>-3.89</v>
      </c>
      <c r="E254" s="4">
        <v>1373026774</v>
      </c>
      <c r="F254">
        <v>1.47</v>
      </c>
      <c r="G254">
        <v>1.3380000000000001</v>
      </c>
      <c r="H254">
        <v>2.09</v>
      </c>
      <c r="I254" s="9">
        <f>C254+H254</f>
        <v>-1.4900000000000002</v>
      </c>
      <c r="J254" s="9">
        <f>I254-C254</f>
        <v>2.09</v>
      </c>
    </row>
    <row r="255" spans="1:10" x14ac:dyDescent="0.4">
      <c r="A255" s="2">
        <v>43890</v>
      </c>
      <c r="B255" s="3">
        <v>1987.01</v>
      </c>
      <c r="C255" s="3">
        <v>-8.7200000000000006</v>
      </c>
      <c r="D255" s="3">
        <v>-9.49</v>
      </c>
      <c r="E255" s="4">
        <v>1286102094</v>
      </c>
      <c r="F255">
        <v>1.42</v>
      </c>
      <c r="G255">
        <v>1.228</v>
      </c>
      <c r="H255">
        <v>2.2200000000000002</v>
      </c>
      <c r="I255" s="9">
        <f>C255+H255</f>
        <v>-6.5</v>
      </c>
      <c r="J255" s="9">
        <f>I255-C255</f>
        <v>2.2200000000000006</v>
      </c>
    </row>
    <row r="256" spans="1:10" x14ac:dyDescent="0.4">
      <c r="A256" s="5">
        <v>43921</v>
      </c>
      <c r="B256" s="6">
        <v>1754.64</v>
      </c>
      <c r="C256" s="6">
        <v>-11.69</v>
      </c>
      <c r="D256" s="6">
        <v>-18.03</v>
      </c>
      <c r="E256" s="7">
        <v>1135440388</v>
      </c>
      <c r="F256">
        <v>1.23</v>
      </c>
      <c r="G256">
        <v>1.0469999999999999</v>
      </c>
      <c r="H256">
        <v>2.5099999999999998</v>
      </c>
      <c r="I256" s="9">
        <f>C256+H256</f>
        <v>-9.18</v>
      </c>
      <c r="J256" s="9">
        <f>I256-C256</f>
        <v>2.5099999999999998</v>
      </c>
    </row>
    <row r="257" spans="1:10" x14ac:dyDescent="0.4">
      <c r="A257" s="2">
        <v>43951</v>
      </c>
      <c r="B257" s="3">
        <v>1947.56</v>
      </c>
      <c r="C257" s="3">
        <v>13.38</v>
      </c>
      <c r="D257" s="3">
        <v>-12.13</v>
      </c>
      <c r="E257" s="4">
        <v>1260152521</v>
      </c>
      <c r="F257">
        <v>1.1000000000000001</v>
      </c>
      <c r="G257">
        <v>0.873</v>
      </c>
      <c r="H257">
        <v>2.27</v>
      </c>
      <c r="I257" s="9">
        <f>C257+H257</f>
        <v>15.65</v>
      </c>
      <c r="J257" s="9">
        <f>I257-C257</f>
        <v>2.2699999999999996</v>
      </c>
    </row>
    <row r="258" spans="1:10" x14ac:dyDescent="0.4">
      <c r="A258" s="2">
        <v>43982</v>
      </c>
      <c r="B258" s="3">
        <v>2029.6</v>
      </c>
      <c r="C258" s="3">
        <v>4.21</v>
      </c>
      <c r="D258" s="3">
        <v>0.31</v>
      </c>
      <c r="E258" s="4">
        <v>1313834535</v>
      </c>
      <c r="F258">
        <v>1.02</v>
      </c>
      <c r="G258">
        <v>0.73499999999999999</v>
      </c>
      <c r="H258">
        <v>2.15</v>
      </c>
      <c r="I258" s="9">
        <f>C258+H258</f>
        <v>6.3599999999999994</v>
      </c>
      <c r="J258" s="9">
        <f>I258-C258</f>
        <v>2.1499999999999995</v>
      </c>
    </row>
    <row r="259" spans="1:10" x14ac:dyDescent="0.4">
      <c r="A259" s="2">
        <v>44012</v>
      </c>
      <c r="B259" s="3">
        <v>2108.33</v>
      </c>
      <c r="C259" s="3">
        <v>3.88</v>
      </c>
      <c r="D259" s="3">
        <v>-1.05</v>
      </c>
      <c r="E259" s="4">
        <v>1367143356</v>
      </c>
      <c r="F259">
        <v>0.79</v>
      </c>
      <c r="G259">
        <v>0.67200000000000004</v>
      </c>
      <c r="H259">
        <v>2.06</v>
      </c>
      <c r="I259" s="9">
        <f>C259+H259</f>
        <v>5.9399999999999995</v>
      </c>
      <c r="J259" s="9">
        <f>I259-C259</f>
        <v>2.0599999999999996</v>
      </c>
    </row>
    <row r="260" spans="1:10" x14ac:dyDescent="0.4">
      <c r="A260" s="2">
        <v>44043</v>
      </c>
      <c r="B260" s="3">
        <v>2249.37</v>
      </c>
      <c r="C260" s="3">
        <v>6.69</v>
      </c>
      <c r="D260" s="3">
        <v>11.1</v>
      </c>
      <c r="E260" s="4">
        <v>1469285023</v>
      </c>
      <c r="F260">
        <v>0.79</v>
      </c>
      <c r="G260">
        <v>0.63</v>
      </c>
      <c r="H260">
        <v>1.92</v>
      </c>
      <c r="I260" s="9">
        <f>C260+H260</f>
        <v>8.61</v>
      </c>
      <c r="J260" s="9">
        <f>I260-C260</f>
        <v>1.919999999999999</v>
      </c>
    </row>
    <row r="261" spans="1:10" x14ac:dyDescent="0.4">
      <c r="A261" s="5">
        <v>44074</v>
      </c>
      <c r="B261" s="6">
        <v>2326.17</v>
      </c>
      <c r="C261" s="6">
        <v>3.41</v>
      </c>
      <c r="D261" s="6">
        <v>18.21</v>
      </c>
      <c r="E261" s="7">
        <v>1522253438</v>
      </c>
      <c r="F261">
        <v>0.68</v>
      </c>
      <c r="G261">
        <v>0.62</v>
      </c>
      <c r="H261">
        <v>1.85</v>
      </c>
      <c r="I261" s="9">
        <f>C261+H261</f>
        <v>5.26</v>
      </c>
      <c r="J261" s="9">
        <f>I261-C261</f>
        <v>1.8499999999999996</v>
      </c>
    </row>
    <row r="262" spans="1:10" x14ac:dyDescent="0.4">
      <c r="A262" s="2">
        <v>44104</v>
      </c>
      <c r="B262" s="3">
        <v>2327.89</v>
      </c>
      <c r="C262" s="3">
        <v>-1.1000000000000001</v>
      </c>
      <c r="D262" s="3">
        <v>13.56</v>
      </c>
      <c r="E262" s="4">
        <v>1523916617</v>
      </c>
      <c r="F262">
        <v>0.63</v>
      </c>
      <c r="G262">
        <v>0.68899999999999995</v>
      </c>
      <c r="H262">
        <v>1.85</v>
      </c>
      <c r="I262" s="9">
        <f>C262+H262</f>
        <v>0.75</v>
      </c>
      <c r="J262" s="9">
        <f>I262-C262</f>
        <v>1.85</v>
      </c>
    </row>
    <row r="263" spans="1:10" x14ac:dyDescent="0.4">
      <c r="A263" s="2">
        <v>44135</v>
      </c>
      <c r="B263" s="3">
        <v>2267.15</v>
      </c>
      <c r="C263" s="3">
        <v>-2.61</v>
      </c>
      <c r="D263" s="3">
        <v>8.98</v>
      </c>
      <c r="E263" s="4">
        <v>1495486228</v>
      </c>
      <c r="F263">
        <v>0.63</v>
      </c>
      <c r="G263">
        <v>0.69799999999999995</v>
      </c>
      <c r="H263">
        <v>1.89</v>
      </c>
      <c r="I263" s="9">
        <f>C263+H263</f>
        <v>-0.72</v>
      </c>
      <c r="J263" s="9">
        <f>I263-C263</f>
        <v>1.89</v>
      </c>
    </row>
    <row r="264" spans="1:10" x14ac:dyDescent="0.4">
      <c r="A264" s="2">
        <v>44165</v>
      </c>
      <c r="B264" s="3">
        <v>2591.34</v>
      </c>
      <c r="C264" s="3">
        <v>14.3</v>
      </c>
      <c r="D264" s="3">
        <v>24.11</v>
      </c>
      <c r="E264" s="4">
        <v>1711571110</v>
      </c>
      <c r="F264">
        <v>0.66</v>
      </c>
      <c r="G264">
        <v>0.71499999999999997</v>
      </c>
      <c r="H264">
        <v>1.65</v>
      </c>
      <c r="I264" s="9">
        <f>C264+H264</f>
        <v>15.950000000000001</v>
      </c>
      <c r="J264" s="9">
        <f>I264-C264</f>
        <v>1.6500000000000004</v>
      </c>
    </row>
    <row r="265" spans="1:10" x14ac:dyDescent="0.4">
      <c r="A265" s="2">
        <v>44196</v>
      </c>
      <c r="B265" s="3">
        <v>2873.47</v>
      </c>
      <c r="C265" s="3">
        <v>10.89</v>
      </c>
      <c r="D265" s="3">
        <v>30.75</v>
      </c>
      <c r="E265" s="4">
        <v>1902781704</v>
      </c>
      <c r="F265">
        <v>0.66</v>
      </c>
      <c r="G265">
        <v>0.72699999999999998</v>
      </c>
      <c r="H265">
        <v>1.48</v>
      </c>
      <c r="I265" s="9">
        <f>C265+H265</f>
        <v>12.370000000000001</v>
      </c>
      <c r="J265" s="9">
        <f>I265-C265</f>
        <v>1.4800000000000004</v>
      </c>
    </row>
    <row r="266" spans="1:10" x14ac:dyDescent="0.4">
      <c r="A266" s="5">
        <v>44227</v>
      </c>
      <c r="B266" s="6">
        <v>2976.21</v>
      </c>
      <c r="C266" s="6">
        <v>5.52</v>
      </c>
      <c r="D266" s="6">
        <v>36.19</v>
      </c>
      <c r="E266" s="7">
        <v>1977599755</v>
      </c>
      <c r="F266">
        <v>0.68</v>
      </c>
      <c r="G266">
        <v>0.69</v>
      </c>
      <c r="H266">
        <v>1.43</v>
      </c>
      <c r="I266" s="9">
        <f>C266+H266</f>
        <v>6.9499999999999993</v>
      </c>
      <c r="J266" s="9">
        <f>I266-C266</f>
        <v>1.4299999999999997</v>
      </c>
    </row>
    <row r="267" spans="1:10" x14ac:dyDescent="0.4">
      <c r="A267" s="2">
        <v>44255</v>
      </c>
      <c r="B267" s="3">
        <v>3012.95</v>
      </c>
      <c r="C267" s="3">
        <v>-4.0599999999999996</v>
      </c>
      <c r="D267" s="3">
        <v>45.08</v>
      </c>
      <c r="E267" s="4">
        <v>2003886200</v>
      </c>
      <c r="F267">
        <v>0.73</v>
      </c>
      <c r="G267">
        <v>0.68400000000000005</v>
      </c>
      <c r="H267">
        <v>1.41</v>
      </c>
      <c r="I267" s="9">
        <f>C267+H267</f>
        <v>-2.6499999999999995</v>
      </c>
      <c r="J267" s="9">
        <f>I267-C267</f>
        <v>1.4100000000000001</v>
      </c>
    </row>
    <row r="268" spans="1:10" x14ac:dyDescent="0.4">
      <c r="A268" s="2">
        <v>44286</v>
      </c>
      <c r="B268" s="3">
        <v>3061.42</v>
      </c>
      <c r="C268" s="3">
        <v>1.61</v>
      </c>
      <c r="D268" s="3">
        <v>74.48</v>
      </c>
      <c r="E268" s="4">
        <v>2050014178</v>
      </c>
      <c r="F268">
        <v>0.75</v>
      </c>
      <c r="G268">
        <v>0.68100000000000005</v>
      </c>
      <c r="H268">
        <v>1.38</v>
      </c>
      <c r="I268" s="9">
        <f>C268+H268</f>
        <v>2.99</v>
      </c>
      <c r="J268" s="9">
        <f>I268-C268</f>
        <v>1.3800000000000001</v>
      </c>
    </row>
    <row r="269" spans="1:10" x14ac:dyDescent="0.4">
      <c r="A269" s="2">
        <v>44316</v>
      </c>
      <c r="B269" s="3">
        <v>3147.86</v>
      </c>
      <c r="C269" s="3">
        <v>2.54</v>
      </c>
      <c r="D269" s="3">
        <v>61.63</v>
      </c>
      <c r="E269" s="4">
        <v>2111575395</v>
      </c>
      <c r="F269">
        <v>0.74</v>
      </c>
      <c r="G269">
        <v>0.66</v>
      </c>
      <c r="H269">
        <v>1.34</v>
      </c>
      <c r="I269" s="9">
        <f>C269+H269</f>
        <v>3.88</v>
      </c>
      <c r="J269" s="9">
        <f>I269-C269</f>
        <v>1.3399999999999999</v>
      </c>
    </row>
    <row r="270" spans="1:10" x14ac:dyDescent="0.4">
      <c r="A270" s="2">
        <v>44347</v>
      </c>
      <c r="B270" s="3">
        <v>3203.92</v>
      </c>
      <c r="C270" s="3">
        <v>1.78</v>
      </c>
      <c r="D270" s="3">
        <v>57.86</v>
      </c>
      <c r="E270" s="4">
        <v>2155256046</v>
      </c>
      <c r="F270">
        <v>0.68</v>
      </c>
      <c r="G270">
        <v>0.63900000000000001</v>
      </c>
      <c r="H270">
        <v>1.79</v>
      </c>
      <c r="I270" s="9">
        <f>C270+H270</f>
        <v>3.5700000000000003</v>
      </c>
      <c r="J270" s="9">
        <f>I270-C270</f>
        <v>1.7900000000000003</v>
      </c>
    </row>
    <row r="271" spans="1:10" x14ac:dyDescent="0.4">
      <c r="A271" s="5">
        <v>44377</v>
      </c>
      <c r="B271" s="6">
        <v>3296.68</v>
      </c>
      <c r="C271" s="6">
        <v>3.39</v>
      </c>
      <c r="D271" s="6">
        <v>56.36</v>
      </c>
      <c r="E271" s="7">
        <v>2219312892</v>
      </c>
      <c r="F271">
        <v>0.66</v>
      </c>
      <c r="G271">
        <v>0.86099999999999999</v>
      </c>
      <c r="H271">
        <v>1.73</v>
      </c>
      <c r="I271" s="9">
        <f>C271+H271</f>
        <v>5.12</v>
      </c>
      <c r="J271" s="9">
        <f>I271-C271</f>
        <v>1.73</v>
      </c>
    </row>
    <row r="272" spans="1:10" x14ac:dyDescent="0.4">
      <c r="A272" s="2">
        <v>44408</v>
      </c>
      <c r="B272" s="3">
        <v>3202.32</v>
      </c>
      <c r="C272" s="3">
        <v>-2.86</v>
      </c>
      <c r="D272" s="3">
        <v>41.26</v>
      </c>
      <c r="E272" s="4">
        <v>2167565228</v>
      </c>
      <c r="F272">
        <v>0.69</v>
      </c>
      <c r="G272">
        <v>0.93600000000000005</v>
      </c>
      <c r="H272">
        <v>1.78</v>
      </c>
      <c r="I272" s="9">
        <f>C272+H272</f>
        <v>-1.0799999999999998</v>
      </c>
      <c r="J272" s="9">
        <f>I272-C272</f>
        <v>1.78</v>
      </c>
    </row>
    <row r="273" spans="1:10" x14ac:dyDescent="0.4">
      <c r="A273" s="2">
        <v>44439</v>
      </c>
      <c r="B273" s="3">
        <v>3199.27</v>
      </c>
      <c r="C273" s="3">
        <v>-0.1</v>
      </c>
      <c r="D273" s="3">
        <v>37.53</v>
      </c>
      <c r="E273" s="4">
        <v>2225575449</v>
      </c>
      <c r="F273">
        <v>0.77</v>
      </c>
      <c r="G273">
        <v>1.0049999999999999</v>
      </c>
      <c r="H273">
        <v>1.73</v>
      </c>
      <c r="I273" s="9">
        <f>C273+H273</f>
        <v>1.63</v>
      </c>
      <c r="J273" s="9">
        <f>I273-C273</f>
        <v>1.73</v>
      </c>
    </row>
    <row r="274" spans="1:10" x14ac:dyDescent="0.4">
      <c r="A274" s="2">
        <v>44469</v>
      </c>
      <c r="B274" s="3">
        <v>3068.82</v>
      </c>
      <c r="C274" s="3">
        <v>-2.4</v>
      </c>
      <c r="D274" s="3">
        <v>31.83</v>
      </c>
      <c r="E274" s="4">
        <v>2152028298</v>
      </c>
      <c r="F274">
        <v>0.98</v>
      </c>
      <c r="G274">
        <v>1.069</v>
      </c>
      <c r="H274">
        <v>1.79</v>
      </c>
      <c r="I274" s="9">
        <f>C274+H274</f>
        <v>-0.60999999999999988</v>
      </c>
      <c r="J274" s="9">
        <f>I274-C274</f>
        <v>1.79</v>
      </c>
    </row>
    <row r="275" spans="1:10" x14ac:dyDescent="0.4">
      <c r="A275" s="2">
        <v>44500</v>
      </c>
      <c r="B275" s="3">
        <v>2970.68</v>
      </c>
      <c r="C275" s="3">
        <v>-2.93</v>
      </c>
      <c r="D275" s="3">
        <v>27.68</v>
      </c>
      <c r="E275" s="4">
        <v>2085286625</v>
      </c>
      <c r="F275">
        <v>1.08</v>
      </c>
      <c r="G275">
        <v>1.204</v>
      </c>
      <c r="H275">
        <v>1.85</v>
      </c>
      <c r="I275" s="9">
        <f>C275+H275</f>
        <v>-1.08</v>
      </c>
      <c r="J275" s="9">
        <f>I275-C275</f>
        <v>1.85</v>
      </c>
    </row>
    <row r="276" spans="1:10" x14ac:dyDescent="0.4">
      <c r="A276" s="5">
        <v>44530</v>
      </c>
      <c r="B276" s="6">
        <v>2839.01</v>
      </c>
      <c r="C276" s="6">
        <v>-4.43</v>
      </c>
      <c r="D276" s="6">
        <v>9.56</v>
      </c>
      <c r="E276" s="7">
        <v>2021876304</v>
      </c>
      <c r="F276">
        <v>1.17</v>
      </c>
      <c r="G276">
        <v>1.339</v>
      </c>
      <c r="H276">
        <v>1.92</v>
      </c>
      <c r="I276" s="9">
        <f>C276+H276</f>
        <v>-2.5099999999999998</v>
      </c>
      <c r="J276" s="9">
        <f>I276-C276</f>
        <v>1.92</v>
      </c>
    </row>
    <row r="277" spans="1:10" x14ac:dyDescent="0.4">
      <c r="A277" s="2">
        <v>44561</v>
      </c>
      <c r="B277" s="3">
        <v>2977.65</v>
      </c>
      <c r="C277" s="3">
        <v>4.88</v>
      </c>
      <c r="D277" s="3">
        <v>3.63</v>
      </c>
      <c r="E277" s="4">
        <v>2124870641</v>
      </c>
      <c r="F277">
        <v>1.27</v>
      </c>
      <c r="G277">
        <v>1.3169999999999999</v>
      </c>
      <c r="H277">
        <v>1.82</v>
      </c>
      <c r="I277" s="9">
        <f>C277+H277</f>
        <v>6.7</v>
      </c>
      <c r="J277" s="9">
        <f>I277-C277</f>
        <v>1.8200000000000003</v>
      </c>
    </row>
    <row r="278" spans="1:10" x14ac:dyDescent="0.4">
      <c r="A278" s="2">
        <v>44592</v>
      </c>
      <c r="B278" s="3">
        <v>2663.34</v>
      </c>
      <c r="C278" s="3">
        <v>-11.82</v>
      </c>
      <c r="D278" s="3">
        <v>-13.22</v>
      </c>
      <c r="E278" s="4">
        <v>2020516470</v>
      </c>
      <c r="F278">
        <v>1.39</v>
      </c>
      <c r="G278">
        <v>1.4239999999999999</v>
      </c>
      <c r="H278">
        <v>1.92</v>
      </c>
      <c r="I278" s="9">
        <f>C278+H278</f>
        <v>-9.9</v>
      </c>
      <c r="J278" s="9">
        <f>I278-C278</f>
        <v>1.92</v>
      </c>
    </row>
    <row r="279" spans="1:10" x14ac:dyDescent="0.4">
      <c r="A279" s="2">
        <v>44620</v>
      </c>
      <c r="B279" s="3">
        <v>2699.18</v>
      </c>
      <c r="C279" s="3">
        <v>1.35</v>
      </c>
      <c r="D279" s="3">
        <v>-10.41</v>
      </c>
      <c r="E279" s="4">
        <v>2051175120</v>
      </c>
      <c r="F279">
        <v>1.5</v>
      </c>
      <c r="G279">
        <v>1.5469999999999999</v>
      </c>
      <c r="H279">
        <v>1.89</v>
      </c>
      <c r="I279" s="9">
        <f>C279+H279</f>
        <v>3.24</v>
      </c>
      <c r="J279" s="9">
        <f>I279-C279</f>
        <v>1.8900000000000001</v>
      </c>
    </row>
    <row r="280" spans="1:10" x14ac:dyDescent="0.4">
      <c r="A280" s="2">
        <v>44651</v>
      </c>
      <c r="B280" s="3">
        <v>2757.65</v>
      </c>
      <c r="C280" s="3">
        <v>2.17</v>
      </c>
      <c r="D280" s="3">
        <v>-9.92</v>
      </c>
      <c r="E280" s="4">
        <v>2096135430</v>
      </c>
      <c r="F280">
        <v>1.5</v>
      </c>
      <c r="G280">
        <v>1.583</v>
      </c>
      <c r="H280">
        <v>1.85</v>
      </c>
      <c r="I280" s="9">
        <f>C280+H280</f>
        <v>4.0199999999999996</v>
      </c>
      <c r="J280" s="9">
        <f>I280-C280</f>
        <v>1.8499999999999996</v>
      </c>
    </row>
    <row r="281" spans="1:10" x14ac:dyDescent="0.4">
      <c r="A281" s="5">
        <v>44681</v>
      </c>
      <c r="B281" s="6">
        <v>2695.05</v>
      </c>
      <c r="C281" s="6">
        <v>-1.68</v>
      </c>
      <c r="D281" s="6">
        <v>-15.09</v>
      </c>
      <c r="E281" s="7">
        <v>2049531158</v>
      </c>
      <c r="F281">
        <v>1.64</v>
      </c>
      <c r="G281">
        <v>1.931</v>
      </c>
      <c r="H281">
        <v>1.89</v>
      </c>
      <c r="I281" s="9">
        <f>C281+H281</f>
        <v>0.20999999999999996</v>
      </c>
      <c r="J281" s="9">
        <f>I281-C281</f>
        <v>1.89</v>
      </c>
    </row>
    <row r="282" spans="1:10" x14ac:dyDescent="0.4">
      <c r="A282" s="2">
        <v>44712</v>
      </c>
      <c r="B282" s="3">
        <v>2685.9</v>
      </c>
      <c r="C282" s="3">
        <v>-0.34</v>
      </c>
      <c r="D282" s="3">
        <v>-16.170000000000002</v>
      </c>
      <c r="E282" s="4">
        <v>2042553083</v>
      </c>
      <c r="F282">
        <v>1.77</v>
      </c>
      <c r="G282">
        <v>1.956</v>
      </c>
      <c r="H282">
        <v>1.85</v>
      </c>
      <c r="I282" s="9">
        <f>C282+H282</f>
        <v>1.51</v>
      </c>
      <c r="J282" s="9">
        <f>I282-C282</f>
        <v>1.85</v>
      </c>
    </row>
    <row r="283" spans="1:10" x14ac:dyDescent="0.4">
      <c r="A283" s="2">
        <v>44742</v>
      </c>
      <c r="B283" s="3">
        <v>2332.64</v>
      </c>
      <c r="C283" s="3">
        <v>-12.62</v>
      </c>
      <c r="D283" s="3">
        <v>-29.24</v>
      </c>
      <c r="E283" s="4">
        <v>1774122018</v>
      </c>
      <c r="F283">
        <v>1.99</v>
      </c>
      <c r="G283">
        <v>2.508</v>
      </c>
      <c r="H283">
        <v>2.13</v>
      </c>
      <c r="I283" s="9">
        <f>C283+H283</f>
        <v>-10.489999999999998</v>
      </c>
      <c r="J283" s="9">
        <f>I283-C283</f>
        <v>2.1300000000000008</v>
      </c>
    </row>
    <row r="284" spans="1:10" x14ac:dyDescent="0.4">
      <c r="A284" s="2">
        <v>44773</v>
      </c>
      <c r="B284" s="3">
        <v>2451.5</v>
      </c>
      <c r="C284" s="3">
        <v>3.09</v>
      </c>
      <c r="D284" s="3">
        <v>-24.4</v>
      </c>
      <c r="E284" s="4">
        <v>1865375609</v>
      </c>
      <c r="F284">
        <v>2.41</v>
      </c>
      <c r="G284">
        <v>2.956</v>
      </c>
      <c r="H284">
        <v>2.02</v>
      </c>
      <c r="I284" s="9">
        <f>C284+H284</f>
        <v>5.1099999999999994</v>
      </c>
      <c r="J284" s="9">
        <f>I284-C284</f>
        <v>2.0199999999999996</v>
      </c>
    </row>
    <row r="285" spans="1:10" x14ac:dyDescent="0.4">
      <c r="A285" s="2">
        <v>44804</v>
      </c>
      <c r="B285" s="3">
        <v>2472.0500000000002</v>
      </c>
      <c r="C285" s="3">
        <v>0.84</v>
      </c>
      <c r="D285" s="3">
        <v>-22.73</v>
      </c>
      <c r="E285" s="4">
        <v>1883346534</v>
      </c>
      <c r="F285">
        <v>2.79</v>
      </c>
      <c r="G285">
        <v>3.0070000000000001</v>
      </c>
      <c r="H285">
        <v>2</v>
      </c>
      <c r="I285" s="9">
        <f>C285+H285</f>
        <v>2.84</v>
      </c>
      <c r="J285" s="9">
        <f>I285-C285</f>
        <v>2</v>
      </c>
    </row>
    <row r="286" spans="1:10" x14ac:dyDescent="0.4">
      <c r="A286" s="5">
        <v>44834</v>
      </c>
      <c r="B286" s="6">
        <v>2155.4899999999998</v>
      </c>
      <c r="C286" s="6">
        <v>-12.05</v>
      </c>
      <c r="D286" s="6">
        <v>-29.76</v>
      </c>
      <c r="E286" s="7">
        <v>1642581406</v>
      </c>
      <c r="F286">
        <v>3.01</v>
      </c>
      <c r="G286">
        <v>3.3969999999999998</v>
      </c>
      <c r="H286">
        <v>2.2999999999999998</v>
      </c>
      <c r="I286" s="9">
        <f>C286+H286</f>
        <v>-9.75</v>
      </c>
      <c r="J286" s="9">
        <f>I286-C286</f>
        <v>2.3000000000000007</v>
      </c>
    </row>
    <row r="287" spans="1:10" x14ac:dyDescent="0.4">
      <c r="A287" s="2">
        <v>44865</v>
      </c>
      <c r="B287" s="3">
        <v>2293.61</v>
      </c>
      <c r="C287" s="3">
        <v>6.41</v>
      </c>
      <c r="D287" s="3">
        <v>-22.79</v>
      </c>
      <c r="E287" s="4">
        <v>1748963338</v>
      </c>
      <c r="F287">
        <v>3.69</v>
      </c>
      <c r="G287">
        <v>3.593</v>
      </c>
      <c r="H287">
        <v>2.16</v>
      </c>
      <c r="I287" s="9">
        <f>C287+H287</f>
        <v>8.57</v>
      </c>
      <c r="J287" s="9">
        <f>I287-C287</f>
        <v>2.16</v>
      </c>
    </row>
    <row r="288" spans="1:10" x14ac:dyDescent="0.4">
      <c r="A288" s="2">
        <v>44895</v>
      </c>
      <c r="B288" s="3">
        <v>2472.5300000000002</v>
      </c>
      <c r="C288" s="3">
        <v>9</v>
      </c>
      <c r="D288" s="3">
        <v>-12.91</v>
      </c>
      <c r="E288" s="4">
        <v>1888823027</v>
      </c>
      <c r="F288">
        <v>3.99</v>
      </c>
      <c r="G288">
        <v>3.8119999999999998</v>
      </c>
      <c r="H288">
        <v>2</v>
      </c>
      <c r="I288" s="9">
        <f>C288+H288</f>
        <v>11</v>
      </c>
      <c r="J288" s="9">
        <f>I288-C288</f>
        <v>2</v>
      </c>
    </row>
    <row r="289" spans="1:10" x14ac:dyDescent="0.4">
      <c r="A289" s="2">
        <v>44926</v>
      </c>
      <c r="B289" s="3">
        <v>2236.4</v>
      </c>
      <c r="C289" s="3">
        <v>-8.1</v>
      </c>
      <c r="D289" s="3">
        <v>-25.29</v>
      </c>
      <c r="E289" s="4">
        <v>1711111558</v>
      </c>
      <c r="F289">
        <v>4.0199999999999996</v>
      </c>
      <c r="G289">
        <v>3.7280000000000002</v>
      </c>
      <c r="H289">
        <v>2.2200000000000002</v>
      </c>
      <c r="I289" s="9">
        <f>C289+H289</f>
        <v>-5.879999999999999</v>
      </c>
      <c r="J289" s="9">
        <f>I289-C289</f>
        <v>2.2200000000000006</v>
      </c>
    </row>
    <row r="290" spans="1:10" x14ac:dyDescent="0.4">
      <c r="A290" s="2">
        <v>44957</v>
      </c>
      <c r="B290" s="3">
        <v>2425.08</v>
      </c>
      <c r="C290" s="3">
        <v>8.44</v>
      </c>
      <c r="D290" s="3">
        <v>-8.9499999999999993</v>
      </c>
      <c r="E290" s="4">
        <v>1857169601</v>
      </c>
      <c r="F290">
        <v>3.8</v>
      </c>
      <c r="G290">
        <v>3.556</v>
      </c>
      <c r="H290">
        <v>2.04</v>
      </c>
      <c r="I290" s="9">
        <f>C290+H290</f>
        <v>10.48</v>
      </c>
      <c r="J290" s="9">
        <f>I290-C290</f>
        <v>2.0400000000000009</v>
      </c>
    </row>
    <row r="291" spans="1:10" x14ac:dyDescent="0.4">
      <c r="A291" s="5">
        <v>44985</v>
      </c>
      <c r="B291" s="6">
        <v>2412.85</v>
      </c>
      <c r="C291" s="6">
        <v>-2.87</v>
      </c>
      <c r="D291" s="6">
        <v>-10.61</v>
      </c>
      <c r="E291" s="7">
        <v>1844097974</v>
      </c>
      <c r="F291">
        <v>3.52</v>
      </c>
      <c r="G291">
        <v>3.5390000000000001</v>
      </c>
      <c r="H291">
        <v>2.0499999999999998</v>
      </c>
      <c r="I291" s="9">
        <f>C291+H291</f>
        <v>-0.82000000000000028</v>
      </c>
      <c r="J291" s="9">
        <f>I291-C291</f>
        <v>2.0499999999999998</v>
      </c>
    </row>
    <row r="292" spans="1:10" x14ac:dyDescent="0.4">
      <c r="A292" s="2">
        <v>45016</v>
      </c>
      <c r="B292" s="3">
        <v>2476.86</v>
      </c>
      <c r="C292" s="3">
        <v>2.65</v>
      </c>
      <c r="D292" s="3">
        <v>-10.18</v>
      </c>
      <c r="E292" s="4">
        <v>1895240272</v>
      </c>
      <c r="F292">
        <v>3.61</v>
      </c>
      <c r="G292">
        <v>3.4820000000000002</v>
      </c>
      <c r="H292">
        <v>2</v>
      </c>
      <c r="I292" s="9">
        <f>C292+H292</f>
        <v>4.6500000000000004</v>
      </c>
      <c r="J292" s="9">
        <f>I292-C292</f>
        <v>2.0000000000000004</v>
      </c>
    </row>
    <row r="293" spans="1:10" x14ac:dyDescent="0.4">
      <c r="A293" s="2">
        <v>45046</v>
      </c>
      <c r="B293" s="3">
        <v>2501.5300000000002</v>
      </c>
      <c r="C293" s="3">
        <v>2.73</v>
      </c>
      <c r="D293" s="3">
        <v>-6.22</v>
      </c>
      <c r="E293" s="4">
        <v>1913770780</v>
      </c>
      <c r="F293">
        <v>3.5</v>
      </c>
      <c r="G293">
        <v>3.2589999999999999</v>
      </c>
      <c r="H293">
        <v>1.98</v>
      </c>
      <c r="I293" s="9">
        <f>C293+H293</f>
        <v>4.71</v>
      </c>
      <c r="J293" s="9">
        <f>I293-C293</f>
        <v>1.98</v>
      </c>
    </row>
    <row r="294" spans="1:10" x14ac:dyDescent="0.4">
      <c r="A294" s="2">
        <v>45077</v>
      </c>
      <c r="B294" s="3">
        <v>2577.12</v>
      </c>
      <c r="C294" s="3">
        <v>3.02</v>
      </c>
      <c r="D294" s="3">
        <v>-4.05</v>
      </c>
      <c r="E294" s="4">
        <v>1971536399</v>
      </c>
      <c r="F294">
        <v>3.64</v>
      </c>
      <c r="G294">
        <v>3.4039999999999999</v>
      </c>
      <c r="H294">
        <v>1.93</v>
      </c>
      <c r="I294" s="9">
        <f>C294+H294</f>
        <v>4.95</v>
      </c>
      <c r="J294" s="9">
        <f>I294-C294</f>
        <v>1.9300000000000002</v>
      </c>
    </row>
    <row r="295" spans="1:10" x14ac:dyDescent="0.4">
      <c r="A295" s="2">
        <v>45107</v>
      </c>
      <c r="B295" s="3">
        <v>2564.2800000000002</v>
      </c>
      <c r="C295" s="3">
        <v>-0.82</v>
      </c>
      <c r="D295" s="3">
        <v>9.93</v>
      </c>
      <c r="E295" s="4">
        <v>1966105864</v>
      </c>
      <c r="F295">
        <v>3.75</v>
      </c>
      <c r="G295">
        <v>3.5409999999999999</v>
      </c>
      <c r="H295">
        <v>1.94</v>
      </c>
      <c r="I295" s="9">
        <f>C295+H295</f>
        <v>1.1200000000000001</v>
      </c>
      <c r="J295" s="9">
        <f>I295-C295</f>
        <v>1.94</v>
      </c>
    </row>
    <row r="296" spans="1:10" x14ac:dyDescent="0.4">
      <c r="A296" s="5">
        <v>45138</v>
      </c>
      <c r="B296" s="6">
        <v>2632.58</v>
      </c>
      <c r="C296" s="6">
        <v>2.66</v>
      </c>
      <c r="D296" s="6">
        <v>7.39</v>
      </c>
      <c r="E296" s="7">
        <v>2019099991</v>
      </c>
      <c r="F296">
        <v>3.75</v>
      </c>
      <c r="G296">
        <v>3.6019999999999999</v>
      </c>
      <c r="H296">
        <v>1.88</v>
      </c>
      <c r="I296" s="9">
        <f>C296+H296</f>
        <v>4.54</v>
      </c>
      <c r="J296" s="9">
        <f>I296-C296</f>
        <v>1.88</v>
      </c>
    </row>
    <row r="297" spans="1:10" x14ac:dyDescent="0.4">
      <c r="A297" s="2">
        <v>45169</v>
      </c>
      <c r="B297" s="3">
        <v>2556.27</v>
      </c>
      <c r="C297" s="3">
        <v>-2.9</v>
      </c>
      <c r="D297" s="3">
        <v>3.41</v>
      </c>
      <c r="E297" s="4">
        <v>1963827833</v>
      </c>
      <c r="F297">
        <v>3.7</v>
      </c>
      <c r="G297">
        <v>3.5939999999999999</v>
      </c>
      <c r="H297">
        <v>1.94</v>
      </c>
      <c r="I297" s="9">
        <f>C297+H297</f>
        <v>-0.96</v>
      </c>
      <c r="J297" s="9">
        <f>I297-C297</f>
        <v>1.94</v>
      </c>
    </row>
    <row r="298" spans="1:10" x14ac:dyDescent="0.4">
      <c r="A298" s="2">
        <v>45199</v>
      </c>
      <c r="B298" s="3">
        <v>2465.0700000000002</v>
      </c>
      <c r="C298" s="3">
        <v>-2.15</v>
      </c>
      <c r="D298" s="3">
        <v>10.85</v>
      </c>
      <c r="E298" s="4">
        <v>1896373108</v>
      </c>
      <c r="F298">
        <v>3.76</v>
      </c>
      <c r="G298">
        <v>3.6509999999999998</v>
      </c>
      <c r="H298">
        <v>2</v>
      </c>
      <c r="I298" s="9">
        <f>C298+H298</f>
        <v>-0.14999999999999991</v>
      </c>
      <c r="J298" s="9">
        <f>I298-C298</f>
        <v>2</v>
      </c>
    </row>
    <row r="299" spans="1:10" x14ac:dyDescent="0.4">
      <c r="A299" s="2">
        <v>45230</v>
      </c>
      <c r="B299" s="3">
        <v>2277.9899999999998</v>
      </c>
      <c r="C299" s="3">
        <v>-7.59</v>
      </c>
      <c r="D299" s="3">
        <v>-0.68</v>
      </c>
      <c r="E299" s="4">
        <v>1755909194</v>
      </c>
      <c r="F299">
        <v>3.82</v>
      </c>
      <c r="G299">
        <v>3.7450000000000001</v>
      </c>
      <c r="H299">
        <v>2.16</v>
      </c>
      <c r="I299" s="9">
        <f>C299+H299</f>
        <v>-5.43</v>
      </c>
      <c r="J299" s="9">
        <f>I299-C299</f>
        <v>2.16</v>
      </c>
    </row>
    <row r="300" spans="1:10" x14ac:dyDescent="0.4">
      <c r="A300" s="2">
        <v>45260</v>
      </c>
      <c r="B300" s="3">
        <v>2535.29</v>
      </c>
      <c r="C300" s="3">
        <v>9.73</v>
      </c>
      <c r="D300" s="3">
        <v>2.54</v>
      </c>
      <c r="E300" s="4">
        <v>1961520148</v>
      </c>
      <c r="F300">
        <v>3.83</v>
      </c>
      <c r="G300">
        <v>3.6869999999999998</v>
      </c>
      <c r="H300">
        <v>1.94</v>
      </c>
      <c r="I300" s="9">
        <f>C300+H300</f>
        <v>11.67</v>
      </c>
      <c r="J300" s="9">
        <f>I300-C300</f>
        <v>1.9399999999999995</v>
      </c>
    </row>
    <row r="301" spans="1:10" x14ac:dyDescent="0.4">
      <c r="A301" s="5">
        <v>45291</v>
      </c>
      <c r="B301" s="6">
        <v>2655.28</v>
      </c>
      <c r="C301" s="6">
        <v>5.29</v>
      </c>
      <c r="D301" s="6">
        <v>16.440000000000001</v>
      </c>
      <c r="E301" s="7">
        <v>2055990776</v>
      </c>
      <c r="F301">
        <v>3.83</v>
      </c>
      <c r="G301">
        <v>3.4990000000000001</v>
      </c>
      <c r="H301">
        <v>1.83</v>
      </c>
      <c r="I301" s="9">
        <f>C301+H301</f>
        <v>7.12</v>
      </c>
      <c r="J301" s="9">
        <f>I301-C301</f>
        <v>1.83</v>
      </c>
    </row>
    <row r="302" spans="1:10" x14ac:dyDescent="0.4">
      <c r="A302" s="2">
        <v>45322</v>
      </c>
      <c r="B302" s="3">
        <v>2497.09</v>
      </c>
      <c r="C302" s="3">
        <v>-5.96</v>
      </c>
      <c r="D302" s="3">
        <v>2.97</v>
      </c>
      <c r="E302" s="4">
        <v>1964913959</v>
      </c>
      <c r="F302">
        <v>3.74</v>
      </c>
      <c r="G302">
        <v>3.327</v>
      </c>
      <c r="H302">
        <v>1.93</v>
      </c>
      <c r="I302" s="9">
        <f>C302+H302</f>
        <v>-4.03</v>
      </c>
      <c r="J302" s="9">
        <f>I302-C302</f>
        <v>1.9299999999999997</v>
      </c>
    </row>
    <row r="303" spans="1:10" x14ac:dyDescent="0.4">
      <c r="A303" s="2">
        <v>45351</v>
      </c>
      <c r="B303" s="3">
        <v>2642.36</v>
      </c>
      <c r="C303" s="3">
        <v>5.67</v>
      </c>
      <c r="D303" s="3">
        <v>9.51</v>
      </c>
      <c r="E303" s="4">
        <v>2081649650</v>
      </c>
      <c r="F303">
        <v>3.69</v>
      </c>
      <c r="G303">
        <v>3.379</v>
      </c>
      <c r="H303">
        <v>1.83</v>
      </c>
      <c r="I303" s="9">
        <f>C303+H303</f>
        <v>7.5</v>
      </c>
      <c r="J303" s="9">
        <f>I303-C303</f>
        <v>1.83</v>
      </c>
    </row>
    <row r="304" spans="1:10" x14ac:dyDescent="0.4">
      <c r="A304" s="2">
        <v>45382</v>
      </c>
      <c r="B304" s="3">
        <v>2746.63</v>
      </c>
      <c r="C304" s="3">
        <v>3.95</v>
      </c>
      <c r="D304" s="3">
        <v>12.39</v>
      </c>
      <c r="E304" s="4">
        <v>2162613338</v>
      </c>
      <c r="F304">
        <v>3.65</v>
      </c>
      <c r="G304">
        <v>3.3650000000000002</v>
      </c>
      <c r="H304">
        <v>1.76</v>
      </c>
      <c r="I304" s="9">
        <f>C304+H304</f>
        <v>5.71</v>
      </c>
      <c r="J304" s="9">
        <f>I304-C304</f>
        <v>1.7599999999999998</v>
      </c>
    </row>
    <row r="305" spans="1:10" x14ac:dyDescent="0.4">
      <c r="A305" s="2">
        <v>45412</v>
      </c>
      <c r="B305" s="3">
        <v>2692.06</v>
      </c>
      <c r="C305" s="3">
        <v>-1.99</v>
      </c>
      <c r="D305" s="3">
        <v>7.62</v>
      </c>
      <c r="E305" s="4">
        <v>2118040095</v>
      </c>
      <c r="F305">
        <v>3.57</v>
      </c>
      <c r="G305">
        <v>3.3889999999999998</v>
      </c>
      <c r="H305">
        <v>1.79</v>
      </c>
      <c r="I305" s="9">
        <f>C305+H305</f>
        <v>-0.19999999999999996</v>
      </c>
      <c r="J305" s="9">
        <f>I305-C305</f>
        <v>1.79</v>
      </c>
    </row>
    <row r="306" spans="1:10" x14ac:dyDescent="0.4">
      <c r="A306" s="5">
        <v>45443</v>
      </c>
      <c r="B306" s="6">
        <v>2636.52</v>
      </c>
      <c r="C306" s="6">
        <v>-2.06</v>
      </c>
      <c r="D306" s="6">
        <v>2.2999999999999998</v>
      </c>
      <c r="E306" s="7">
        <v>2079443325</v>
      </c>
      <c r="F306">
        <v>3.6</v>
      </c>
      <c r="G306">
        <v>3.387</v>
      </c>
      <c r="H306">
        <v>1.89</v>
      </c>
      <c r="I306" s="9">
        <f>C306+H306</f>
        <v>-0.17000000000000015</v>
      </c>
      <c r="J306" s="9">
        <f>I306-C306</f>
        <v>1.89</v>
      </c>
    </row>
    <row r="307" spans="1:10" x14ac:dyDescent="0.4">
      <c r="A307" s="2">
        <v>45473</v>
      </c>
      <c r="B307" s="3">
        <v>2797.82</v>
      </c>
      <c r="C307" s="3">
        <v>2.75</v>
      </c>
      <c r="D307" s="3">
        <v>9.11</v>
      </c>
      <c r="E307" s="4">
        <v>2207896034</v>
      </c>
      <c r="F307">
        <v>3.6</v>
      </c>
      <c r="G307">
        <v>3.3519999999999999</v>
      </c>
      <c r="H307">
        <v>1.78</v>
      </c>
      <c r="I307" s="9">
        <f>C307+H307</f>
        <v>4.53</v>
      </c>
      <c r="J307" s="9">
        <f>I307-C307</f>
        <v>1.7800000000000002</v>
      </c>
    </row>
    <row r="308" spans="1:10" x14ac:dyDescent="0.4">
      <c r="A308" s="2">
        <v>45504</v>
      </c>
      <c r="B308" s="3">
        <v>2770.69</v>
      </c>
      <c r="C308" s="3">
        <v>-0.97</v>
      </c>
      <c r="D308" s="3">
        <v>5.25</v>
      </c>
      <c r="E308" s="4">
        <v>2190960717</v>
      </c>
      <c r="F308">
        <v>3.54</v>
      </c>
      <c r="G308">
        <v>3.21</v>
      </c>
      <c r="H308">
        <v>1.79</v>
      </c>
      <c r="I308" s="9">
        <f>C308+H308</f>
        <v>0.82000000000000006</v>
      </c>
      <c r="J308" s="9">
        <f>I308-C308</f>
        <v>1.79</v>
      </c>
    </row>
    <row r="309" spans="1:10" x14ac:dyDescent="0.4">
      <c r="A309" s="2">
        <v>45535</v>
      </c>
      <c r="B309" s="3">
        <v>2674.31</v>
      </c>
      <c r="C309" s="3">
        <v>-2.33</v>
      </c>
      <c r="D309" s="3">
        <v>4.42</v>
      </c>
      <c r="E309" s="4">
        <v>2114525437</v>
      </c>
      <c r="F309">
        <v>3.5</v>
      </c>
      <c r="G309">
        <v>3.048</v>
      </c>
      <c r="H309">
        <v>1.86</v>
      </c>
      <c r="I309" s="9">
        <f>C309+H309</f>
        <v>-0.47</v>
      </c>
      <c r="J309" s="9">
        <f>I309-C309</f>
        <v>1.86</v>
      </c>
    </row>
    <row r="310" spans="1:10" x14ac:dyDescent="0.4">
      <c r="A310" s="2">
        <v>45565</v>
      </c>
      <c r="B310" s="3">
        <v>2593.27</v>
      </c>
      <c r="C310" s="3">
        <v>-3.03</v>
      </c>
      <c r="D310" s="3">
        <v>5.2</v>
      </c>
      <c r="E310" s="4">
        <v>2051667153</v>
      </c>
      <c r="F310">
        <v>3.52</v>
      </c>
      <c r="G310">
        <v>2.9209999999999998</v>
      </c>
      <c r="H310">
        <v>1.92</v>
      </c>
      <c r="I310" s="9">
        <f>C310+H310</f>
        <v>-1.1099999999999999</v>
      </c>
      <c r="J310" s="9">
        <f>I310-C310</f>
        <v>1.92</v>
      </c>
    </row>
    <row r="311" spans="1:10" x14ac:dyDescent="0.4">
      <c r="A311" s="5">
        <v>45596</v>
      </c>
      <c r="B311" s="6">
        <v>2556.15</v>
      </c>
      <c r="C311" s="6">
        <v>-1.43</v>
      </c>
      <c r="D311" s="6">
        <v>12.21</v>
      </c>
      <c r="E311" s="7">
        <v>2023031380</v>
      </c>
      <c r="F311">
        <v>3.43</v>
      </c>
      <c r="G311">
        <v>2.86</v>
      </c>
      <c r="H311">
        <v>1.94</v>
      </c>
      <c r="I311" s="9">
        <f>C311+H311</f>
        <v>0.51</v>
      </c>
      <c r="J311" s="9">
        <f>I311-C311</f>
        <v>1.94</v>
      </c>
    </row>
    <row r="312" spans="1:10" x14ac:dyDescent="0.4">
      <c r="A312" s="2">
        <v>45626</v>
      </c>
      <c r="B312" s="3">
        <v>2455.91</v>
      </c>
      <c r="C312" s="3">
        <v>-6.18</v>
      </c>
      <c r="D312" s="3">
        <v>-2.54</v>
      </c>
      <c r="E312" s="4">
        <v>1952766122</v>
      </c>
      <c r="F312">
        <v>3.42</v>
      </c>
      <c r="G312">
        <v>2.8239999999999998</v>
      </c>
      <c r="H312">
        <v>2.0099999999999998</v>
      </c>
      <c r="I312" s="9">
        <f>C312+H312</f>
        <v>-4.17</v>
      </c>
      <c r="J312" s="9">
        <f>I312-C312</f>
        <v>2.0099999999999998</v>
      </c>
    </row>
    <row r="313" spans="1:10" x14ac:dyDescent="0.4">
      <c r="A313" s="2">
        <v>45657</v>
      </c>
      <c r="B313" s="3">
        <v>2399.4899999999998</v>
      </c>
      <c r="C313" s="3">
        <v>-2.2999999999999998</v>
      </c>
      <c r="D313" s="3">
        <v>-9.6300000000000008</v>
      </c>
      <c r="E313" s="4">
        <v>1908584452</v>
      </c>
      <c r="F313">
        <v>3.35</v>
      </c>
      <c r="G313">
        <v>2.698</v>
      </c>
      <c r="H313">
        <v>2.06</v>
      </c>
      <c r="I313" s="9">
        <f>C313+H313</f>
        <v>-0.23999999999999977</v>
      </c>
      <c r="J313" s="9">
        <f>I313-C313</f>
        <v>2.06</v>
      </c>
    </row>
    <row r="314" spans="1:10" x14ac:dyDescent="0.4">
      <c r="A314" s="2">
        <v>45688</v>
      </c>
      <c r="B314" s="3">
        <v>2517.37</v>
      </c>
      <c r="C314" s="3">
        <v>4.91</v>
      </c>
      <c r="D314" s="3">
        <v>0.81</v>
      </c>
      <c r="E314" s="4">
        <v>2002637162</v>
      </c>
      <c r="F314">
        <v>3.04</v>
      </c>
      <c r="G314">
        <v>2.6360000000000001</v>
      </c>
      <c r="H314">
        <v>1.96</v>
      </c>
      <c r="I314" s="9">
        <f>C314+H314</f>
        <v>6.87</v>
      </c>
      <c r="J314" s="9">
        <f>I314-C314</f>
        <v>1.96</v>
      </c>
    </row>
    <row r="315" spans="1:10" x14ac:dyDescent="0.4">
      <c r="A315" s="2">
        <v>45716</v>
      </c>
      <c r="B315" s="3">
        <v>2532.7800000000002</v>
      </c>
      <c r="C315" s="3">
        <v>-0.16</v>
      </c>
      <c r="D315" s="3">
        <v>-4.51</v>
      </c>
      <c r="E315" s="4">
        <v>2019489121</v>
      </c>
      <c r="F315">
        <v>2.95</v>
      </c>
      <c r="G315">
        <v>2.6230000000000002</v>
      </c>
      <c r="H315">
        <v>1.96</v>
      </c>
      <c r="I315" s="9">
        <f>C315+H315</f>
        <v>1.8</v>
      </c>
      <c r="J315" s="9">
        <f>I315-C315</f>
        <v>1.96</v>
      </c>
    </row>
    <row r="316" spans="1:10" x14ac:dyDescent="0.4">
      <c r="A316" s="5">
        <v>45747</v>
      </c>
      <c r="B316" s="6">
        <v>2481.12</v>
      </c>
      <c r="C316" s="6">
        <v>-2.04</v>
      </c>
      <c r="D316" s="6">
        <v>-9.67</v>
      </c>
      <c r="E316" s="7">
        <v>1977166930</v>
      </c>
      <c r="F316">
        <v>2.84</v>
      </c>
      <c r="G316">
        <v>2.6280000000000001</v>
      </c>
      <c r="H316">
        <v>2.0099999999999998</v>
      </c>
      <c r="I316" s="9">
        <f>C316+H316</f>
        <v>-3.0000000000000249E-2</v>
      </c>
      <c r="J316" s="9">
        <f>I316-C316</f>
        <v>2.0099999999999998</v>
      </c>
    </row>
    <row r="317" spans="1:10" x14ac:dyDescent="0.4">
      <c r="A317" s="2">
        <v>45772</v>
      </c>
      <c r="B317" s="3">
        <v>2546.3000000000002</v>
      </c>
      <c r="C317" s="3">
        <v>-2.66</v>
      </c>
      <c r="D317" s="3">
        <v>-3.13</v>
      </c>
      <c r="E317" s="4">
        <v>2029811347</v>
      </c>
    </row>
  </sheetData>
  <phoneticPr fontId="2" type="noConversion"/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FnBtn1">
          <controlPr locked="0" defaultSize="0" print="0" autoLine="0" autoPict="0" r:id="rId5">
            <anchor moveWithCells="1" sizeWithCells="1">
              <from>
                <xdr:col>0</xdr:col>
                <xdr:colOff>15240</xdr:colOff>
                <xdr:row>0</xdr:row>
                <xdr:rowOff>0</xdr:rowOff>
              </from>
              <to>
                <xdr:col>0</xdr:col>
                <xdr:colOff>480060</xdr:colOff>
                <xdr:row>0</xdr:row>
                <xdr:rowOff>0</xdr:rowOff>
              </to>
            </anchor>
          </controlPr>
        </control>
      </mc:Choice>
      <mc:Fallback>
        <control shapeId="1025" r:id="rId4" name="FnBt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7"/>
  <sheetViews>
    <sheetView workbookViewId="0">
      <selection activeCell="B18" sqref="B18"/>
    </sheetView>
  </sheetViews>
  <sheetFormatPr defaultRowHeight="17.399999999999999" x14ac:dyDescent="0.4"/>
  <cols>
    <col min="1" max="1" width="11" bestFit="1" customWidth="1"/>
    <col min="2" max="2" width="18.09765625" customWidth="1"/>
    <col min="3" max="3" width="18.8984375" bestFit="1" customWidth="1"/>
    <col min="4" max="4" width="19.796875" customWidth="1"/>
    <col min="5" max="5" width="38.796875" bestFit="1" customWidth="1"/>
    <col min="6" max="6" width="12.8984375" customWidth="1"/>
  </cols>
  <sheetData>
    <row r="1" spans="1:9" x14ac:dyDescent="0.4">
      <c r="A1" s="1" t="s">
        <v>4</v>
      </c>
      <c r="B1" s="8" t="s">
        <v>0</v>
      </c>
      <c r="C1" s="8" t="s">
        <v>1</v>
      </c>
      <c r="D1" s="8" t="s">
        <v>2</v>
      </c>
      <c r="E1" s="8" t="s">
        <v>3</v>
      </c>
      <c r="F1" t="s">
        <v>5</v>
      </c>
      <c r="G1" s="8" t="s">
        <v>6</v>
      </c>
      <c r="H1" s="8" t="s">
        <v>7</v>
      </c>
      <c r="I1" s="8" t="s">
        <v>8</v>
      </c>
    </row>
    <row r="2" spans="1:9" x14ac:dyDescent="0.4">
      <c r="A2" s="2">
        <v>36191</v>
      </c>
      <c r="B2" s="3">
        <v>571.42999999999995</v>
      </c>
      <c r="C2" s="3">
        <v>1.59</v>
      </c>
      <c r="D2" s="3">
        <v>10.18</v>
      </c>
      <c r="E2" s="4">
        <v>142388064</v>
      </c>
      <c r="F2">
        <v>6.84</v>
      </c>
      <c r="G2" s="9">
        <v>1.5</v>
      </c>
      <c r="H2" s="9"/>
    </row>
    <row r="3" spans="1:9" x14ac:dyDescent="0.4">
      <c r="A3" s="2">
        <v>36219</v>
      </c>
      <c r="B3" s="3">
        <v>520.05999999999995</v>
      </c>
      <c r="C3" s="3">
        <v>-2.1</v>
      </c>
      <c r="D3" s="3">
        <v>-0.94</v>
      </c>
      <c r="E3" s="4">
        <v>132994118</v>
      </c>
      <c r="F3">
        <v>6.89</v>
      </c>
      <c r="G3" s="3">
        <v>1.6</v>
      </c>
      <c r="H3" s="9"/>
    </row>
    <row r="4" spans="1:9" x14ac:dyDescent="0.4">
      <c r="A4" s="2">
        <v>36250</v>
      </c>
      <c r="B4" s="3">
        <v>618.98</v>
      </c>
      <c r="C4" s="3">
        <v>19.02</v>
      </c>
      <c r="D4" s="3">
        <v>28.68</v>
      </c>
      <c r="E4" s="4">
        <v>165010656</v>
      </c>
      <c r="F4">
        <v>6.82</v>
      </c>
      <c r="G4" s="3">
        <v>1.4</v>
      </c>
      <c r="H4" s="9"/>
    </row>
    <row r="5" spans="1:9" x14ac:dyDescent="0.4">
      <c r="A5" s="2">
        <v>36280</v>
      </c>
      <c r="B5" s="3">
        <v>752.59</v>
      </c>
      <c r="C5" s="3">
        <v>21.59</v>
      </c>
      <c r="D5" s="3">
        <v>78.67</v>
      </c>
      <c r="E5" s="4">
        <v>208242257</v>
      </c>
      <c r="F5">
        <v>6.37</v>
      </c>
      <c r="G5" s="3">
        <v>1.2</v>
      </c>
      <c r="H5" s="9"/>
    </row>
    <row r="6" spans="1:9" x14ac:dyDescent="0.4">
      <c r="A6" s="5">
        <v>36311</v>
      </c>
      <c r="B6" s="6">
        <v>736.02</v>
      </c>
      <c r="C6" s="6">
        <v>-2.2000000000000002</v>
      </c>
      <c r="D6" s="6">
        <v>121.67</v>
      </c>
      <c r="E6" s="7">
        <v>213614378</v>
      </c>
      <c r="F6">
        <v>6.55</v>
      </c>
      <c r="G6" s="3">
        <v>1.1000000000000001</v>
      </c>
      <c r="H6" s="9"/>
    </row>
    <row r="7" spans="1:9" x14ac:dyDescent="0.4">
      <c r="A7" s="2">
        <v>36341</v>
      </c>
      <c r="B7" s="3">
        <v>883</v>
      </c>
      <c r="C7" s="3">
        <v>19.97</v>
      </c>
      <c r="D7" s="3">
        <v>196.43</v>
      </c>
      <c r="E7" s="4">
        <v>263250940</v>
      </c>
      <c r="F7">
        <v>6.58</v>
      </c>
      <c r="G7" s="3">
        <v>1</v>
      </c>
      <c r="H7" s="9"/>
    </row>
    <row r="8" spans="1:9" x14ac:dyDescent="0.4">
      <c r="A8" s="2">
        <v>36372</v>
      </c>
      <c r="B8" s="3">
        <v>969.72</v>
      </c>
      <c r="C8" s="3">
        <v>9.82</v>
      </c>
      <c r="D8" s="3">
        <v>181.15</v>
      </c>
      <c r="E8" s="4">
        <v>290140456</v>
      </c>
      <c r="F8">
        <v>7.15</v>
      </c>
      <c r="G8" s="3">
        <v>1.1000000000000001</v>
      </c>
      <c r="H8" s="9"/>
    </row>
    <row r="9" spans="1:9" x14ac:dyDescent="0.4">
      <c r="A9" s="2">
        <v>36403</v>
      </c>
      <c r="B9" s="3">
        <v>937.88</v>
      </c>
      <c r="C9" s="3">
        <v>-3.28</v>
      </c>
      <c r="D9" s="3">
        <v>202.39</v>
      </c>
      <c r="E9" s="4">
        <v>284810784</v>
      </c>
      <c r="F9">
        <v>8.17</v>
      </c>
      <c r="G9" s="3">
        <v>1.2</v>
      </c>
      <c r="H9" s="9"/>
    </row>
    <row r="10" spans="1:9" x14ac:dyDescent="0.4">
      <c r="A10" s="2">
        <v>36433</v>
      </c>
      <c r="B10" s="3">
        <v>836.18</v>
      </c>
      <c r="C10" s="3">
        <v>-10.84</v>
      </c>
      <c r="D10" s="3">
        <v>169.46</v>
      </c>
      <c r="E10" s="4">
        <v>255633841</v>
      </c>
      <c r="F10">
        <v>8.56</v>
      </c>
      <c r="G10" s="3">
        <v>1.4</v>
      </c>
      <c r="H10" s="9"/>
    </row>
    <row r="11" spans="1:9" x14ac:dyDescent="0.4">
      <c r="A11" s="5">
        <v>36464</v>
      </c>
      <c r="B11" s="6">
        <v>833.51</v>
      </c>
      <c r="C11" s="6">
        <v>-4.07</v>
      </c>
      <c r="D11" s="6">
        <v>125.09</v>
      </c>
      <c r="E11" s="7">
        <v>268009289</v>
      </c>
      <c r="F11">
        <v>8</v>
      </c>
      <c r="G11" s="3">
        <v>1.4</v>
      </c>
      <c r="H11" s="9"/>
    </row>
    <row r="12" spans="1:9" x14ac:dyDescent="0.4">
      <c r="A12" s="2">
        <v>36494</v>
      </c>
      <c r="B12" s="3">
        <v>996.66</v>
      </c>
      <c r="C12" s="3">
        <v>19.57</v>
      </c>
      <c r="D12" s="3">
        <v>120.56</v>
      </c>
      <c r="E12" s="4">
        <v>326809071</v>
      </c>
      <c r="F12">
        <v>8.32</v>
      </c>
      <c r="G12" s="3">
        <v>1.3</v>
      </c>
      <c r="H12" s="9"/>
    </row>
    <row r="13" spans="1:9" x14ac:dyDescent="0.4">
      <c r="A13" s="2">
        <v>36525</v>
      </c>
      <c r="B13" s="3">
        <v>1028.07</v>
      </c>
      <c r="C13" s="3">
        <v>8.31</v>
      </c>
      <c r="D13" s="3">
        <v>82.78</v>
      </c>
      <c r="E13" s="4">
        <v>342635040</v>
      </c>
      <c r="F13">
        <v>8.83</v>
      </c>
      <c r="G13" s="3">
        <v>1.1000000000000001</v>
      </c>
      <c r="H13" s="9"/>
    </row>
    <row r="14" spans="1:9" x14ac:dyDescent="0.4">
      <c r="A14" s="2">
        <v>36556</v>
      </c>
      <c r="B14" s="3">
        <v>943.88</v>
      </c>
      <c r="C14" s="3">
        <v>-8.19</v>
      </c>
      <c r="D14" s="3">
        <v>65.180000000000007</v>
      </c>
      <c r="E14" s="4">
        <v>316146202</v>
      </c>
      <c r="F14">
        <v>8.8699999999999992</v>
      </c>
      <c r="G14" s="3">
        <v>2.0099999999999998</v>
      </c>
      <c r="H14" s="9"/>
    </row>
    <row r="15" spans="1:9" x14ac:dyDescent="0.4">
      <c r="A15" s="2">
        <v>36585</v>
      </c>
      <c r="B15" s="3">
        <v>828.38</v>
      </c>
      <c r="C15" s="3">
        <v>-12.03</v>
      </c>
      <c r="D15" s="3">
        <v>59.29</v>
      </c>
      <c r="E15" s="4">
        <v>277714290</v>
      </c>
      <c r="F15">
        <v>8.52</v>
      </c>
      <c r="G15" s="3">
        <v>2.14</v>
      </c>
      <c r="H15" s="9"/>
    </row>
    <row r="16" spans="1:9" x14ac:dyDescent="0.4">
      <c r="A16" s="5">
        <v>36616</v>
      </c>
      <c r="B16" s="6">
        <v>860.94</v>
      </c>
      <c r="C16" s="6">
        <v>3.93</v>
      </c>
      <c r="D16" s="6">
        <v>39.090000000000003</v>
      </c>
      <c r="E16" s="7">
        <v>288603714</v>
      </c>
      <c r="F16">
        <v>8.3699999999999992</v>
      </c>
      <c r="G16" s="3">
        <v>2.37</v>
      </c>
      <c r="H16" s="9"/>
    </row>
    <row r="17" spans="1:8" x14ac:dyDescent="0.4">
      <c r="A17" s="2">
        <v>36646</v>
      </c>
      <c r="B17" s="3">
        <v>725.39</v>
      </c>
      <c r="C17" s="3">
        <v>-18.61</v>
      </c>
      <c r="D17" s="3">
        <v>-8.18</v>
      </c>
      <c r="E17" s="4">
        <v>243001187</v>
      </c>
      <c r="F17">
        <v>8.3699999999999992</v>
      </c>
      <c r="G17" s="3">
        <v>2.4500000000000002</v>
      </c>
      <c r="H17" s="9"/>
    </row>
    <row r="18" spans="1:8" x14ac:dyDescent="0.4">
      <c r="A18" s="2">
        <v>36677</v>
      </c>
      <c r="B18" s="3">
        <v>731.88</v>
      </c>
      <c r="C18" s="3">
        <v>0.89</v>
      </c>
      <c r="D18" s="3">
        <v>-0.56000000000000005</v>
      </c>
      <c r="E18" s="4">
        <v>248250535</v>
      </c>
      <c r="F18">
        <v>8.3699999999999992</v>
      </c>
      <c r="G18" s="3">
        <v>2.2999999999999998</v>
      </c>
      <c r="H18" s="9"/>
    </row>
    <row r="19" spans="1:8" x14ac:dyDescent="0.4">
      <c r="A19" s="2">
        <v>36707</v>
      </c>
      <c r="B19" s="3">
        <v>821.22</v>
      </c>
      <c r="C19" s="3">
        <v>18.8</v>
      </c>
      <c r="D19" s="3">
        <v>-7</v>
      </c>
      <c r="E19" s="4">
        <v>278421712</v>
      </c>
      <c r="F19">
        <v>8.2799999999999994</v>
      </c>
      <c r="G19" s="3">
        <v>2.34</v>
      </c>
      <c r="H19" s="9"/>
    </row>
    <row r="20" spans="1:8" x14ac:dyDescent="0.4">
      <c r="A20" s="2">
        <v>36738</v>
      </c>
      <c r="B20" s="3">
        <v>705.97</v>
      </c>
      <c r="C20" s="3">
        <v>-14.03</v>
      </c>
      <c r="D20" s="3">
        <v>-27.2</v>
      </c>
      <c r="E20" s="4">
        <v>239680202</v>
      </c>
      <c r="F20">
        <v>7.6</v>
      </c>
      <c r="G20" s="3">
        <v>2.31</v>
      </c>
      <c r="H20" s="9"/>
    </row>
    <row r="21" spans="1:8" x14ac:dyDescent="0.4">
      <c r="A21" s="5">
        <v>36769</v>
      </c>
      <c r="B21" s="6">
        <v>688.62</v>
      </c>
      <c r="C21" s="6">
        <v>-2.46</v>
      </c>
      <c r="D21" s="6">
        <v>-26.58</v>
      </c>
      <c r="E21" s="7">
        <v>234736625</v>
      </c>
      <c r="F21">
        <v>7.23</v>
      </c>
      <c r="G21" s="3">
        <v>2.2799999999999998</v>
      </c>
      <c r="H21" s="9"/>
    </row>
    <row r="22" spans="1:8" x14ac:dyDescent="0.4">
      <c r="A22" s="2">
        <v>36799</v>
      </c>
      <c r="B22" s="3">
        <v>613.22</v>
      </c>
      <c r="C22" s="3">
        <v>-16.18</v>
      </c>
      <c r="D22" s="3">
        <v>-29.42</v>
      </c>
      <c r="E22" s="4">
        <v>209604473</v>
      </c>
      <c r="F22">
        <v>7.3</v>
      </c>
      <c r="G22" s="3">
        <v>2.46</v>
      </c>
      <c r="H22" s="9"/>
    </row>
    <row r="23" spans="1:8" x14ac:dyDescent="0.4">
      <c r="A23" s="2">
        <v>36830</v>
      </c>
      <c r="B23" s="3">
        <v>514.48</v>
      </c>
      <c r="C23" s="3">
        <v>-16.100000000000001</v>
      </c>
      <c r="D23" s="3">
        <v>-38.28</v>
      </c>
      <c r="E23" s="4">
        <v>177163042</v>
      </c>
      <c r="F23">
        <v>7.15</v>
      </c>
      <c r="G23" s="3">
        <v>2.19</v>
      </c>
      <c r="H23" s="9"/>
    </row>
    <row r="24" spans="1:8" x14ac:dyDescent="0.4">
      <c r="A24" s="2">
        <v>36860</v>
      </c>
      <c r="B24" s="3">
        <v>509.23</v>
      </c>
      <c r="C24" s="3">
        <v>0.89</v>
      </c>
      <c r="D24" s="3">
        <v>-48.91</v>
      </c>
      <c r="E24" s="4">
        <v>175581476</v>
      </c>
      <c r="F24">
        <v>6.99</v>
      </c>
      <c r="G24" s="3">
        <v>1.79</v>
      </c>
      <c r="H24" s="9"/>
    </row>
    <row r="25" spans="1:8" x14ac:dyDescent="0.4">
      <c r="A25" s="2">
        <v>36891</v>
      </c>
      <c r="B25" s="3">
        <v>504.62</v>
      </c>
      <c r="C25" s="3">
        <v>-4.9400000000000004</v>
      </c>
      <c r="D25" s="3">
        <v>-49.11</v>
      </c>
      <c r="E25" s="4">
        <v>174767690</v>
      </c>
      <c r="F25">
        <v>6.72</v>
      </c>
      <c r="G25" s="3">
        <v>1.73</v>
      </c>
      <c r="H25" s="9"/>
    </row>
    <row r="26" spans="1:8" x14ac:dyDescent="0.4">
      <c r="A26" s="5">
        <v>36922</v>
      </c>
      <c r="B26" s="6">
        <v>617.91</v>
      </c>
      <c r="C26" s="6">
        <v>22.45</v>
      </c>
      <c r="D26" s="6">
        <v>-34.54</v>
      </c>
      <c r="E26" s="7">
        <v>213062038</v>
      </c>
      <c r="F26">
        <v>6.05</v>
      </c>
      <c r="G26" s="3">
        <v>1.61</v>
      </c>
      <c r="H26" s="9"/>
    </row>
    <row r="27" spans="1:8" x14ac:dyDescent="0.4">
      <c r="A27" s="2">
        <v>36950</v>
      </c>
      <c r="B27" s="3">
        <v>578.1</v>
      </c>
      <c r="C27" s="3">
        <v>-2.2999999999999998</v>
      </c>
      <c r="D27" s="3">
        <v>-29.41</v>
      </c>
      <c r="E27" s="4">
        <v>200031900</v>
      </c>
      <c r="F27">
        <v>5.53</v>
      </c>
      <c r="G27" s="3">
        <v>1.47</v>
      </c>
      <c r="H27" s="9"/>
    </row>
    <row r="28" spans="1:8" x14ac:dyDescent="0.4">
      <c r="A28" s="2">
        <v>36981</v>
      </c>
      <c r="B28" s="3">
        <v>523.22</v>
      </c>
      <c r="C28" s="3">
        <v>-9.49</v>
      </c>
      <c r="D28" s="3">
        <v>-41.21</v>
      </c>
      <c r="E28" s="4">
        <v>179889710</v>
      </c>
      <c r="F28">
        <v>5.82</v>
      </c>
      <c r="G28" s="3">
        <v>1.34</v>
      </c>
      <c r="H28" s="9"/>
    </row>
    <row r="29" spans="1:8" x14ac:dyDescent="0.4">
      <c r="A29" s="2">
        <v>37011</v>
      </c>
      <c r="B29" s="3">
        <v>577.36</v>
      </c>
      <c r="C29" s="3">
        <v>10.35</v>
      </c>
      <c r="D29" s="3">
        <v>-20.41</v>
      </c>
      <c r="E29" s="4">
        <v>198911067</v>
      </c>
      <c r="F29">
        <v>6.21</v>
      </c>
      <c r="G29" s="3">
        <v>1.3</v>
      </c>
      <c r="H29" s="9"/>
    </row>
    <row r="30" spans="1:8" x14ac:dyDescent="0.4">
      <c r="A30" s="2">
        <v>37042</v>
      </c>
      <c r="B30" s="3">
        <v>612.16</v>
      </c>
      <c r="C30" s="3">
        <v>6.03</v>
      </c>
      <c r="D30" s="3">
        <v>-16.36</v>
      </c>
      <c r="E30" s="4">
        <v>211957827</v>
      </c>
      <c r="F30">
        <v>6.1</v>
      </c>
      <c r="G30" s="3">
        <v>1.36</v>
      </c>
      <c r="H30" s="9"/>
    </row>
    <row r="31" spans="1:8" x14ac:dyDescent="0.4">
      <c r="A31" s="5">
        <v>37072</v>
      </c>
      <c r="B31" s="6">
        <v>595.13</v>
      </c>
      <c r="C31" s="6">
        <v>-5.84</v>
      </c>
      <c r="D31" s="6">
        <v>-27.33</v>
      </c>
      <c r="E31" s="7">
        <v>207941532</v>
      </c>
      <c r="F31">
        <v>5.8</v>
      </c>
      <c r="G31" s="3">
        <v>1.42</v>
      </c>
      <c r="H31" s="9"/>
    </row>
    <row r="32" spans="1:8" x14ac:dyDescent="0.4">
      <c r="A32" s="2">
        <v>37103</v>
      </c>
      <c r="B32" s="3">
        <v>541.54999999999995</v>
      </c>
      <c r="C32" s="3">
        <v>-9</v>
      </c>
      <c r="D32" s="3">
        <v>-23.29</v>
      </c>
      <c r="E32" s="4">
        <v>191037796</v>
      </c>
      <c r="F32">
        <v>5.46</v>
      </c>
      <c r="G32" s="3">
        <v>1.58</v>
      </c>
      <c r="H32" s="9"/>
    </row>
    <row r="33" spans="1:8" x14ac:dyDescent="0.4">
      <c r="A33" s="2">
        <v>37134</v>
      </c>
      <c r="B33" s="3">
        <v>545.11</v>
      </c>
      <c r="C33" s="3">
        <v>0.66</v>
      </c>
      <c r="D33" s="3">
        <v>-20.84</v>
      </c>
      <c r="E33" s="4">
        <v>192553271</v>
      </c>
      <c r="F33">
        <v>5.05</v>
      </c>
      <c r="G33" s="3">
        <v>1.53</v>
      </c>
      <c r="H33" s="9"/>
    </row>
    <row r="34" spans="1:8" x14ac:dyDescent="0.4">
      <c r="A34" s="2">
        <v>37164</v>
      </c>
      <c r="B34" s="3">
        <v>479.68</v>
      </c>
      <c r="C34" s="3">
        <v>-16.8</v>
      </c>
      <c r="D34" s="3">
        <v>-20.83</v>
      </c>
      <c r="E34" s="4">
        <v>169856653</v>
      </c>
      <c r="F34">
        <v>4.75</v>
      </c>
      <c r="G34" s="3">
        <v>1.76</v>
      </c>
      <c r="H34" s="9"/>
    </row>
    <row r="35" spans="1:8" x14ac:dyDescent="0.4">
      <c r="A35" s="2">
        <v>37195</v>
      </c>
      <c r="B35" s="3">
        <v>537.80999999999995</v>
      </c>
      <c r="C35" s="3">
        <v>12.12</v>
      </c>
      <c r="D35" s="3">
        <v>4.53</v>
      </c>
      <c r="E35" s="4">
        <v>190679702</v>
      </c>
      <c r="F35">
        <v>4.42</v>
      </c>
      <c r="G35" s="3">
        <v>1.73</v>
      </c>
      <c r="H35" s="9"/>
    </row>
    <row r="36" spans="1:8" x14ac:dyDescent="0.4">
      <c r="A36" s="5">
        <v>37225</v>
      </c>
      <c r="B36" s="6">
        <v>643.89</v>
      </c>
      <c r="C36" s="6">
        <v>20.61</v>
      </c>
      <c r="D36" s="6">
        <v>26.44</v>
      </c>
      <c r="E36" s="7">
        <v>231110825</v>
      </c>
      <c r="F36">
        <v>4.88</v>
      </c>
      <c r="G36" s="3">
        <v>1.56</v>
      </c>
      <c r="H36" s="9"/>
    </row>
    <row r="37" spans="1:8" x14ac:dyDescent="0.4">
      <c r="A37" s="2">
        <v>37256</v>
      </c>
      <c r="B37" s="3">
        <v>693.7</v>
      </c>
      <c r="C37" s="3">
        <v>9.76</v>
      </c>
      <c r="D37" s="3">
        <v>37.47</v>
      </c>
      <c r="E37" s="4">
        <v>250222434</v>
      </c>
      <c r="F37">
        <v>5.35</v>
      </c>
      <c r="G37" s="3">
        <v>1.77</v>
      </c>
      <c r="H37" s="9"/>
    </row>
    <row r="38" spans="1:8" x14ac:dyDescent="0.4">
      <c r="A38" s="2">
        <v>37287</v>
      </c>
      <c r="B38" s="3">
        <v>748.07</v>
      </c>
      <c r="C38" s="3">
        <v>7.84</v>
      </c>
      <c r="D38" s="3">
        <v>21.06</v>
      </c>
      <c r="E38" s="4">
        <v>272435405</v>
      </c>
      <c r="F38">
        <v>5.23</v>
      </c>
      <c r="H38" s="9"/>
    </row>
    <row r="39" spans="1:8" x14ac:dyDescent="0.4">
      <c r="A39" s="2">
        <v>37315</v>
      </c>
      <c r="B39" s="3">
        <v>819.99</v>
      </c>
      <c r="C39" s="3">
        <v>5.09</v>
      </c>
      <c r="D39" s="3">
        <v>41.84</v>
      </c>
      <c r="E39" s="4">
        <v>298636787</v>
      </c>
      <c r="F39">
        <v>4.97</v>
      </c>
      <c r="H39" s="9"/>
    </row>
    <row r="40" spans="1:8" x14ac:dyDescent="0.4">
      <c r="A40" s="2">
        <v>37346</v>
      </c>
      <c r="B40" s="3">
        <v>895.58</v>
      </c>
      <c r="C40" s="3">
        <v>9.2200000000000006</v>
      </c>
      <c r="D40" s="3">
        <v>70.98</v>
      </c>
      <c r="E40" s="4">
        <v>327292981</v>
      </c>
      <c r="F40">
        <v>5.26</v>
      </c>
      <c r="H40" s="9"/>
    </row>
    <row r="41" spans="1:8" x14ac:dyDescent="0.4">
      <c r="A41" s="5">
        <v>37376</v>
      </c>
      <c r="B41" s="6">
        <v>842.34</v>
      </c>
      <c r="C41" s="6">
        <v>-5.94</v>
      </c>
      <c r="D41" s="6">
        <v>45.9</v>
      </c>
      <c r="E41" s="7">
        <v>316085418</v>
      </c>
      <c r="F41">
        <v>5.42</v>
      </c>
      <c r="H41" s="9"/>
    </row>
    <row r="42" spans="1:8" x14ac:dyDescent="0.4">
      <c r="A42" s="2">
        <v>37407</v>
      </c>
      <c r="B42" s="3">
        <v>796.4</v>
      </c>
      <c r="C42" s="3">
        <v>-5.45</v>
      </c>
      <c r="D42" s="3">
        <v>30.1</v>
      </c>
      <c r="E42" s="4">
        <v>300760420</v>
      </c>
      <c r="F42">
        <v>5.42</v>
      </c>
      <c r="H42" s="9"/>
    </row>
    <row r="43" spans="1:8" x14ac:dyDescent="0.4">
      <c r="A43" s="2">
        <v>37437</v>
      </c>
      <c r="B43" s="3">
        <v>742.72</v>
      </c>
      <c r="C43" s="3">
        <v>-12.5</v>
      </c>
      <c r="D43" s="3">
        <v>27.34</v>
      </c>
      <c r="E43" s="4">
        <v>289115863</v>
      </c>
      <c r="F43">
        <v>5.38</v>
      </c>
      <c r="H43" s="9"/>
    </row>
    <row r="44" spans="1:8" x14ac:dyDescent="0.4">
      <c r="A44" s="2">
        <v>37468</v>
      </c>
      <c r="B44" s="3">
        <v>717.99</v>
      </c>
      <c r="C44" s="3">
        <v>-3.33</v>
      </c>
      <c r="D44" s="3">
        <v>32.58</v>
      </c>
      <c r="E44" s="4">
        <v>281308021</v>
      </c>
      <c r="F44">
        <v>5.34</v>
      </c>
      <c r="H44" s="9"/>
    </row>
    <row r="45" spans="1:8" x14ac:dyDescent="0.4">
      <c r="A45" s="2">
        <v>37499</v>
      </c>
      <c r="B45" s="3">
        <v>736.4</v>
      </c>
      <c r="C45" s="3">
        <v>1.7</v>
      </c>
      <c r="D45" s="3">
        <v>30.48</v>
      </c>
      <c r="E45" s="4">
        <v>289751127</v>
      </c>
      <c r="F45">
        <v>5.04</v>
      </c>
      <c r="H45" s="9"/>
    </row>
    <row r="46" spans="1:8" x14ac:dyDescent="0.4">
      <c r="A46" s="5">
        <v>37529</v>
      </c>
      <c r="B46" s="6">
        <v>646.41999999999996</v>
      </c>
      <c r="C46" s="6">
        <v>-12.22</v>
      </c>
      <c r="D46" s="6">
        <v>34.76</v>
      </c>
      <c r="E46" s="7">
        <v>255535519</v>
      </c>
      <c r="F46">
        <v>5.03</v>
      </c>
      <c r="H46" s="9"/>
    </row>
    <row r="47" spans="1:8" x14ac:dyDescent="0.4">
      <c r="A47" s="2">
        <v>37560</v>
      </c>
      <c r="B47" s="3">
        <v>658.92</v>
      </c>
      <c r="C47" s="3">
        <v>1.93</v>
      </c>
      <c r="D47" s="3">
        <v>22.52</v>
      </c>
      <c r="E47" s="4">
        <v>261209882</v>
      </c>
      <c r="F47">
        <v>5.14</v>
      </c>
      <c r="H47" s="9"/>
    </row>
    <row r="48" spans="1:8" x14ac:dyDescent="0.4">
      <c r="A48" s="2">
        <v>37590</v>
      </c>
      <c r="B48" s="3">
        <v>724.8</v>
      </c>
      <c r="C48" s="3">
        <v>7.67</v>
      </c>
      <c r="D48" s="3">
        <v>15.26</v>
      </c>
      <c r="E48" s="4">
        <v>287990689</v>
      </c>
      <c r="F48">
        <v>5.04</v>
      </c>
      <c r="H48" s="9"/>
    </row>
    <row r="49" spans="1:9" x14ac:dyDescent="0.4">
      <c r="A49" s="2">
        <v>37621</v>
      </c>
      <c r="B49" s="3">
        <v>627.54999999999995</v>
      </c>
      <c r="C49" s="3">
        <v>-13.42</v>
      </c>
      <c r="D49" s="3">
        <v>-9.5399999999999991</v>
      </c>
      <c r="E49" s="4">
        <v>251307155</v>
      </c>
      <c r="F49">
        <v>5.03</v>
      </c>
      <c r="H49" s="9"/>
    </row>
    <row r="50" spans="1:9" x14ac:dyDescent="0.4">
      <c r="A50" s="2">
        <v>37652</v>
      </c>
      <c r="B50" s="3">
        <v>591.86</v>
      </c>
      <c r="C50" s="3">
        <v>-5.69</v>
      </c>
      <c r="D50" s="3">
        <v>-21.03</v>
      </c>
      <c r="E50" s="4">
        <v>235876528</v>
      </c>
      <c r="F50">
        <v>4.79</v>
      </c>
      <c r="H50" s="9"/>
    </row>
    <row r="51" spans="1:9" x14ac:dyDescent="0.4">
      <c r="A51" s="5">
        <v>37680</v>
      </c>
      <c r="B51" s="6">
        <v>575.42999999999995</v>
      </c>
      <c r="C51" s="6">
        <v>-4.18</v>
      </c>
      <c r="D51" s="6">
        <v>-29.82</v>
      </c>
      <c r="E51" s="7">
        <v>229434797</v>
      </c>
      <c r="F51">
        <v>4.63</v>
      </c>
      <c r="H51" s="9"/>
    </row>
    <row r="52" spans="1:9" x14ac:dyDescent="0.4">
      <c r="A52" s="2">
        <v>37711</v>
      </c>
      <c r="B52" s="3">
        <v>535.70000000000005</v>
      </c>
      <c r="C52" s="3">
        <v>-6.9</v>
      </c>
      <c r="D52" s="3">
        <v>-40.18</v>
      </c>
      <c r="E52" s="4">
        <v>214218540</v>
      </c>
      <c r="F52">
        <v>4.71</v>
      </c>
      <c r="H52" s="9"/>
    </row>
    <row r="53" spans="1:9" x14ac:dyDescent="0.4">
      <c r="A53" s="2">
        <v>37741</v>
      </c>
      <c r="B53" s="3">
        <v>599.35</v>
      </c>
      <c r="C53" s="3">
        <v>7.73</v>
      </c>
      <c r="D53" s="3">
        <v>-28.85</v>
      </c>
      <c r="E53" s="4">
        <v>240621818</v>
      </c>
      <c r="F53">
        <v>4.5999999999999996</v>
      </c>
      <c r="H53" s="9"/>
    </row>
    <row r="54" spans="1:9" x14ac:dyDescent="0.4">
      <c r="A54" s="2">
        <v>37772</v>
      </c>
      <c r="B54" s="3">
        <v>633.41999999999996</v>
      </c>
      <c r="C54" s="3">
        <v>5.68</v>
      </c>
      <c r="D54" s="3">
        <v>-22.34</v>
      </c>
      <c r="E54" s="4">
        <v>254665263</v>
      </c>
      <c r="F54">
        <v>4.3</v>
      </c>
      <c r="H54" s="9"/>
    </row>
    <row r="55" spans="1:9" x14ac:dyDescent="0.4">
      <c r="A55" s="2">
        <v>37802</v>
      </c>
      <c r="B55" s="3">
        <v>669.93</v>
      </c>
      <c r="C55" s="3">
        <v>5.76</v>
      </c>
      <c r="D55" s="3">
        <v>-9.8000000000000007</v>
      </c>
      <c r="E55" s="4">
        <v>270766319</v>
      </c>
      <c r="F55">
        <v>4.29</v>
      </c>
      <c r="H55" s="9"/>
    </row>
    <row r="56" spans="1:9" x14ac:dyDescent="0.4">
      <c r="A56" s="5">
        <v>37833</v>
      </c>
      <c r="B56" s="6">
        <v>713.52</v>
      </c>
      <c r="C56" s="6">
        <v>6.51</v>
      </c>
      <c r="D56" s="6">
        <v>-0.62</v>
      </c>
      <c r="E56" s="7">
        <v>288700562</v>
      </c>
      <c r="F56">
        <v>4.2699999999999996</v>
      </c>
      <c r="H56" s="9"/>
    </row>
    <row r="57" spans="1:9" x14ac:dyDescent="0.4">
      <c r="A57" s="2">
        <v>37864</v>
      </c>
      <c r="B57" s="3">
        <v>759.47</v>
      </c>
      <c r="C57" s="3">
        <v>5.14</v>
      </c>
      <c r="D57" s="3">
        <v>4.76</v>
      </c>
      <c r="E57" s="4">
        <v>307356455</v>
      </c>
      <c r="F57">
        <v>4.16</v>
      </c>
      <c r="H57" s="9"/>
    </row>
    <row r="58" spans="1:9" x14ac:dyDescent="0.4">
      <c r="A58" s="2">
        <v>37894</v>
      </c>
      <c r="B58" s="3">
        <v>697.52</v>
      </c>
      <c r="C58" s="3">
        <v>-8.16</v>
      </c>
      <c r="D58" s="3">
        <v>7.91</v>
      </c>
      <c r="E58" s="4">
        <v>285836994</v>
      </c>
      <c r="F58">
        <v>4.08</v>
      </c>
      <c r="H58" s="9"/>
    </row>
    <row r="59" spans="1:9" x14ac:dyDescent="0.4">
      <c r="A59" s="2">
        <v>37925</v>
      </c>
      <c r="B59" s="3">
        <v>782.36</v>
      </c>
      <c r="C59" s="3">
        <v>12.16</v>
      </c>
      <c r="D59" s="3">
        <v>18.73</v>
      </c>
      <c r="E59" s="4">
        <v>321218758</v>
      </c>
      <c r="F59">
        <v>4.1100000000000003</v>
      </c>
      <c r="H59" s="9"/>
    </row>
    <row r="60" spans="1:9" x14ac:dyDescent="0.4">
      <c r="A60" s="2">
        <v>37955</v>
      </c>
      <c r="B60" s="3">
        <v>796.18</v>
      </c>
      <c r="C60" s="3">
        <v>2.69</v>
      </c>
      <c r="D60" s="3">
        <v>11.43</v>
      </c>
      <c r="E60" s="4">
        <v>334574680</v>
      </c>
      <c r="F60">
        <v>4.47</v>
      </c>
      <c r="H60" s="9"/>
    </row>
    <row r="61" spans="1:9" x14ac:dyDescent="0.4">
      <c r="A61" s="5">
        <v>37986</v>
      </c>
      <c r="B61" s="6">
        <v>810.71</v>
      </c>
      <c r="C61" s="6">
        <v>1.82</v>
      </c>
      <c r="D61" s="6">
        <v>29.19</v>
      </c>
      <c r="E61" s="7">
        <v>345074784</v>
      </c>
      <c r="F61">
        <v>4.68</v>
      </c>
      <c r="H61" s="9"/>
    </row>
    <row r="62" spans="1:9" x14ac:dyDescent="0.4">
      <c r="A62" s="2">
        <v>38017</v>
      </c>
      <c r="B62" s="3">
        <v>848.5</v>
      </c>
      <c r="C62" s="3">
        <v>4.66</v>
      </c>
      <c r="D62" s="3">
        <v>43.36</v>
      </c>
      <c r="E62" s="4">
        <v>361698226</v>
      </c>
      <c r="F62">
        <v>4.5999999999999996</v>
      </c>
      <c r="G62">
        <v>1.99</v>
      </c>
      <c r="H62" s="9">
        <f t="shared" ref="H62:H125" si="0">C62+G62</f>
        <v>6.65</v>
      </c>
      <c r="I62" s="9">
        <f>H62-C62</f>
        <v>1.9900000000000002</v>
      </c>
    </row>
    <row r="63" spans="1:9" x14ac:dyDescent="0.4">
      <c r="A63" s="2">
        <v>38046</v>
      </c>
      <c r="B63" s="3">
        <v>883.42</v>
      </c>
      <c r="C63" s="3">
        <v>2.36</v>
      </c>
      <c r="D63" s="3">
        <v>51.67</v>
      </c>
      <c r="E63" s="4">
        <v>376210793</v>
      </c>
      <c r="F63">
        <v>4.43</v>
      </c>
      <c r="G63">
        <v>1.99</v>
      </c>
      <c r="H63" s="9">
        <f t="shared" si="0"/>
        <v>4.3499999999999996</v>
      </c>
      <c r="I63" s="9">
        <f t="shared" ref="I63:I126" si="1">H63-C63</f>
        <v>1.9899999999999998</v>
      </c>
    </row>
    <row r="64" spans="1:9" x14ac:dyDescent="0.4">
      <c r="A64" s="2">
        <v>38077</v>
      </c>
      <c r="B64" s="3">
        <v>880.5</v>
      </c>
      <c r="C64" s="3">
        <v>-0.33</v>
      </c>
      <c r="D64" s="3">
        <v>64.36</v>
      </c>
      <c r="E64" s="4">
        <v>375099309</v>
      </c>
      <c r="F64">
        <v>4.26</v>
      </c>
      <c r="G64">
        <v>1.83</v>
      </c>
      <c r="H64" s="9">
        <f t="shared" si="0"/>
        <v>1.5</v>
      </c>
      <c r="I64" s="9">
        <f t="shared" si="1"/>
        <v>1.83</v>
      </c>
    </row>
    <row r="65" spans="1:9" x14ac:dyDescent="0.4">
      <c r="A65" s="2">
        <v>38107</v>
      </c>
      <c r="B65" s="3">
        <v>862.84</v>
      </c>
      <c r="C65" s="3">
        <v>-1.22</v>
      </c>
      <c r="D65" s="3">
        <v>43.96</v>
      </c>
      <c r="E65" s="4">
        <v>371839367</v>
      </c>
      <c r="F65">
        <v>4.1399999999999997</v>
      </c>
      <c r="G65">
        <v>2.21</v>
      </c>
      <c r="H65" s="9">
        <f t="shared" si="0"/>
        <v>0.99</v>
      </c>
      <c r="I65" s="9">
        <f t="shared" si="1"/>
        <v>2.21</v>
      </c>
    </row>
    <row r="66" spans="1:9" x14ac:dyDescent="0.4">
      <c r="A66" s="5">
        <v>38138</v>
      </c>
      <c r="B66" s="6">
        <v>803.84</v>
      </c>
      <c r="C66" s="6">
        <v>-6.84</v>
      </c>
      <c r="D66" s="6">
        <v>26.9</v>
      </c>
      <c r="E66" s="7">
        <v>345035271</v>
      </c>
      <c r="F66">
        <v>4.08</v>
      </c>
      <c r="G66">
        <v>2.39</v>
      </c>
      <c r="H66" s="9">
        <f t="shared" si="0"/>
        <v>-4.4499999999999993</v>
      </c>
      <c r="I66" s="9">
        <f t="shared" si="1"/>
        <v>2.3900000000000006</v>
      </c>
    </row>
    <row r="67" spans="1:9" x14ac:dyDescent="0.4">
      <c r="A67" s="2">
        <v>38168</v>
      </c>
      <c r="B67" s="3">
        <v>785.79</v>
      </c>
      <c r="C67" s="3">
        <v>-3.76</v>
      </c>
      <c r="D67" s="3">
        <v>17.29</v>
      </c>
      <c r="E67" s="4">
        <v>337386355</v>
      </c>
      <c r="F67">
        <v>4.13</v>
      </c>
      <c r="G67">
        <v>2.42</v>
      </c>
      <c r="H67" s="9">
        <f t="shared" si="0"/>
        <v>-1.3399999999999999</v>
      </c>
      <c r="I67" s="9">
        <f t="shared" si="1"/>
        <v>2.42</v>
      </c>
    </row>
    <row r="68" spans="1:9" x14ac:dyDescent="0.4">
      <c r="A68" s="2">
        <v>38199</v>
      </c>
      <c r="B68" s="3">
        <v>735.34</v>
      </c>
      <c r="C68" s="3">
        <v>-6.42</v>
      </c>
      <c r="D68" s="3">
        <v>2.97</v>
      </c>
      <c r="E68" s="4">
        <v>322080415</v>
      </c>
      <c r="F68">
        <v>4.0599999999999996</v>
      </c>
      <c r="G68">
        <v>2.52</v>
      </c>
      <c r="H68" s="9">
        <f t="shared" si="0"/>
        <v>-3.9</v>
      </c>
      <c r="I68" s="9">
        <f t="shared" si="1"/>
        <v>2.52</v>
      </c>
    </row>
    <row r="69" spans="1:9" x14ac:dyDescent="0.4">
      <c r="A69" s="2">
        <v>38230</v>
      </c>
      <c r="B69" s="3">
        <v>803.57</v>
      </c>
      <c r="C69" s="3">
        <v>9.2799999999999994</v>
      </c>
      <c r="D69" s="3">
        <v>5.81</v>
      </c>
      <c r="E69" s="4">
        <v>356847451</v>
      </c>
      <c r="F69">
        <v>3.73</v>
      </c>
      <c r="G69">
        <v>2.33</v>
      </c>
      <c r="H69" s="9">
        <f t="shared" si="0"/>
        <v>11.61</v>
      </c>
      <c r="I69" s="9">
        <f t="shared" si="1"/>
        <v>2.33</v>
      </c>
    </row>
    <row r="70" spans="1:9" x14ac:dyDescent="0.4">
      <c r="A70" s="2">
        <v>38260</v>
      </c>
      <c r="B70" s="3">
        <v>835.09</v>
      </c>
      <c r="C70" s="3">
        <v>3.71</v>
      </c>
      <c r="D70" s="3">
        <v>19.72</v>
      </c>
      <c r="E70" s="4">
        <v>371058345</v>
      </c>
      <c r="F70">
        <v>3.51</v>
      </c>
      <c r="G70">
        <v>2.2200000000000002</v>
      </c>
      <c r="H70" s="9">
        <f t="shared" si="0"/>
        <v>5.93</v>
      </c>
      <c r="I70" s="9">
        <f t="shared" si="1"/>
        <v>2.2199999999999998</v>
      </c>
    </row>
    <row r="71" spans="1:9" x14ac:dyDescent="0.4">
      <c r="A71" s="5">
        <v>38291</v>
      </c>
      <c r="B71" s="6">
        <v>834.84</v>
      </c>
      <c r="C71" s="6">
        <v>0.33</v>
      </c>
      <c r="D71" s="6">
        <v>7.08</v>
      </c>
      <c r="E71" s="7">
        <v>371730008</v>
      </c>
      <c r="F71">
        <v>3.47</v>
      </c>
      <c r="G71">
        <v>2.2200000000000002</v>
      </c>
      <c r="H71" s="9">
        <f t="shared" si="0"/>
        <v>2.5500000000000003</v>
      </c>
      <c r="I71" s="9">
        <f t="shared" si="1"/>
        <v>2.2200000000000002</v>
      </c>
    </row>
    <row r="72" spans="1:9" x14ac:dyDescent="0.4">
      <c r="A72" s="2">
        <v>38321</v>
      </c>
      <c r="B72" s="3">
        <v>878.06</v>
      </c>
      <c r="C72" s="3">
        <v>5.18</v>
      </c>
      <c r="D72" s="3">
        <v>10.28</v>
      </c>
      <c r="E72" s="4">
        <v>390560920</v>
      </c>
      <c r="F72">
        <v>3.34</v>
      </c>
      <c r="G72">
        <v>2.1</v>
      </c>
      <c r="H72" s="9">
        <f t="shared" si="0"/>
        <v>7.2799999999999994</v>
      </c>
      <c r="I72" s="9">
        <f t="shared" si="1"/>
        <v>2.0999999999999996</v>
      </c>
    </row>
    <row r="73" spans="1:9" x14ac:dyDescent="0.4">
      <c r="A73" s="2">
        <v>38352</v>
      </c>
      <c r="B73" s="3">
        <v>895.92</v>
      </c>
      <c r="C73" s="3">
        <v>2.0299999999999998</v>
      </c>
      <c r="D73" s="3">
        <v>10.51</v>
      </c>
      <c r="E73" s="4">
        <v>400591702</v>
      </c>
      <c r="F73">
        <v>3.29</v>
      </c>
      <c r="G73">
        <v>2.06</v>
      </c>
      <c r="H73" s="9">
        <f t="shared" si="0"/>
        <v>4.09</v>
      </c>
      <c r="I73" s="9">
        <f t="shared" si="1"/>
        <v>2.06</v>
      </c>
    </row>
    <row r="74" spans="1:9" x14ac:dyDescent="0.4">
      <c r="A74" s="2">
        <v>38383</v>
      </c>
      <c r="B74" s="3">
        <v>932.7</v>
      </c>
      <c r="C74" s="3">
        <v>4.1100000000000003</v>
      </c>
      <c r="D74" s="3">
        <v>9.92</v>
      </c>
      <c r="E74" s="4">
        <v>417776537</v>
      </c>
      <c r="F74">
        <v>3.48</v>
      </c>
      <c r="G74">
        <v>1.95</v>
      </c>
      <c r="H74" s="9">
        <f t="shared" si="0"/>
        <v>6.0600000000000005</v>
      </c>
      <c r="I74" s="9">
        <f t="shared" si="1"/>
        <v>1.9500000000000002</v>
      </c>
    </row>
    <row r="75" spans="1:9" x14ac:dyDescent="0.4">
      <c r="A75" s="2">
        <v>38411</v>
      </c>
      <c r="B75" s="3">
        <v>1011.36</v>
      </c>
      <c r="C75" s="3">
        <v>9.74</v>
      </c>
      <c r="D75" s="3">
        <v>14.48</v>
      </c>
      <c r="E75" s="4">
        <v>455203870</v>
      </c>
      <c r="F75">
        <v>3.86</v>
      </c>
      <c r="G75">
        <v>1.79</v>
      </c>
      <c r="H75" s="9">
        <f t="shared" si="0"/>
        <v>11.530000000000001</v>
      </c>
      <c r="I75" s="9">
        <f t="shared" si="1"/>
        <v>1.7900000000000009</v>
      </c>
    </row>
    <row r="76" spans="1:9" x14ac:dyDescent="0.4">
      <c r="A76" s="5">
        <v>38442</v>
      </c>
      <c r="B76" s="6">
        <v>965.68</v>
      </c>
      <c r="C76" s="6">
        <v>-4.5199999999999996</v>
      </c>
      <c r="D76" s="6">
        <v>9.67</v>
      </c>
      <c r="E76" s="7">
        <v>435098894</v>
      </c>
      <c r="F76">
        <v>3.82</v>
      </c>
      <c r="G76">
        <v>1.86</v>
      </c>
      <c r="H76" s="9">
        <f t="shared" si="0"/>
        <v>-2.6599999999999993</v>
      </c>
      <c r="I76" s="9">
        <f t="shared" si="1"/>
        <v>1.8600000000000003</v>
      </c>
    </row>
    <row r="77" spans="1:9" x14ac:dyDescent="0.4">
      <c r="A77" s="2">
        <v>38472</v>
      </c>
      <c r="B77" s="3">
        <v>911.3</v>
      </c>
      <c r="C77" s="3">
        <v>-4.97</v>
      </c>
      <c r="D77" s="3">
        <v>4.0999999999999996</v>
      </c>
      <c r="E77" s="4">
        <v>409984955</v>
      </c>
      <c r="F77">
        <v>3.72</v>
      </c>
      <c r="G77">
        <v>2.71</v>
      </c>
      <c r="H77" s="9">
        <f t="shared" si="0"/>
        <v>-2.2599999999999998</v>
      </c>
      <c r="I77" s="9">
        <f t="shared" si="1"/>
        <v>2.71</v>
      </c>
    </row>
    <row r="78" spans="1:9" x14ac:dyDescent="0.4">
      <c r="A78" s="2">
        <v>38503</v>
      </c>
      <c r="B78" s="3">
        <v>970.21</v>
      </c>
      <c r="C78" s="3">
        <v>6.46</v>
      </c>
      <c r="D78" s="3">
        <v>20.7</v>
      </c>
      <c r="E78" s="4">
        <v>437253458</v>
      </c>
      <c r="F78">
        <v>3.6</v>
      </c>
      <c r="G78">
        <v>2.54</v>
      </c>
      <c r="H78" s="9">
        <f t="shared" si="0"/>
        <v>9</v>
      </c>
      <c r="I78" s="9">
        <f t="shared" si="1"/>
        <v>2.54</v>
      </c>
    </row>
    <row r="79" spans="1:9" x14ac:dyDescent="0.4">
      <c r="A79" s="2">
        <v>38533</v>
      </c>
      <c r="B79" s="3">
        <v>1008.16</v>
      </c>
      <c r="C79" s="3">
        <v>4.04</v>
      </c>
      <c r="D79" s="3">
        <v>28.3</v>
      </c>
      <c r="E79" s="4">
        <v>454198512</v>
      </c>
      <c r="F79">
        <v>3.66</v>
      </c>
      <c r="G79">
        <v>2.4500000000000002</v>
      </c>
      <c r="H79" s="9">
        <f t="shared" si="0"/>
        <v>6.49</v>
      </c>
      <c r="I79" s="9">
        <f t="shared" si="1"/>
        <v>2.4500000000000002</v>
      </c>
    </row>
    <row r="80" spans="1:9" x14ac:dyDescent="0.4">
      <c r="A80" s="2">
        <v>38564</v>
      </c>
      <c r="B80" s="3">
        <v>1111.29</v>
      </c>
      <c r="C80" s="3">
        <v>11.23</v>
      </c>
      <c r="D80" s="3">
        <v>52.1</v>
      </c>
      <c r="E80" s="4">
        <v>502373668</v>
      </c>
      <c r="F80">
        <v>3.76</v>
      </c>
      <c r="G80">
        <v>2.2200000000000002</v>
      </c>
      <c r="H80" s="9">
        <f t="shared" si="0"/>
        <v>13.450000000000001</v>
      </c>
      <c r="I80" s="9">
        <f t="shared" si="1"/>
        <v>2.2200000000000006</v>
      </c>
    </row>
    <row r="81" spans="1:9" x14ac:dyDescent="0.4">
      <c r="A81" s="5">
        <v>38595</v>
      </c>
      <c r="B81" s="6">
        <v>1083.33</v>
      </c>
      <c r="C81" s="6">
        <v>-2.52</v>
      </c>
      <c r="D81" s="6">
        <v>34.81</v>
      </c>
      <c r="E81" s="7">
        <v>490001826</v>
      </c>
      <c r="F81">
        <v>3.87</v>
      </c>
      <c r="G81">
        <v>2.27</v>
      </c>
      <c r="H81" s="9">
        <f t="shared" si="0"/>
        <v>-0.25</v>
      </c>
      <c r="I81" s="9">
        <f t="shared" si="1"/>
        <v>2.27</v>
      </c>
    </row>
    <row r="82" spans="1:9" x14ac:dyDescent="0.4">
      <c r="A82" s="2">
        <v>38625</v>
      </c>
      <c r="B82" s="3">
        <v>1221.01</v>
      </c>
      <c r="C82" s="3">
        <v>13.84</v>
      </c>
      <c r="D82" s="3">
        <v>46.21</v>
      </c>
      <c r="E82" s="4">
        <v>552485574</v>
      </c>
      <c r="F82">
        <v>4.1900000000000004</v>
      </c>
      <c r="G82">
        <v>2.02</v>
      </c>
      <c r="H82" s="9">
        <f t="shared" si="0"/>
        <v>15.86</v>
      </c>
      <c r="I82" s="9">
        <f t="shared" si="1"/>
        <v>2.0199999999999996</v>
      </c>
    </row>
    <row r="83" spans="1:9" x14ac:dyDescent="0.4">
      <c r="A83" s="2">
        <v>38656</v>
      </c>
      <c r="B83" s="3">
        <v>1158.1099999999999</v>
      </c>
      <c r="C83" s="3">
        <v>-5.15</v>
      </c>
      <c r="D83" s="3">
        <v>38.72</v>
      </c>
      <c r="E83" s="4">
        <v>524808274</v>
      </c>
      <c r="F83">
        <v>4.43</v>
      </c>
      <c r="G83">
        <v>2.13</v>
      </c>
      <c r="H83" s="9">
        <f t="shared" si="0"/>
        <v>-3.0200000000000005</v>
      </c>
      <c r="I83" s="9">
        <f t="shared" si="1"/>
        <v>2.13</v>
      </c>
    </row>
    <row r="84" spans="1:9" x14ac:dyDescent="0.4">
      <c r="A84" s="2">
        <v>38686</v>
      </c>
      <c r="B84" s="3">
        <v>1297.44</v>
      </c>
      <c r="C84" s="3">
        <v>13.74</v>
      </c>
      <c r="D84" s="3">
        <v>47.76</v>
      </c>
      <c r="E84" s="4">
        <v>588642350</v>
      </c>
      <c r="F84">
        <v>4.58</v>
      </c>
      <c r="G84">
        <v>1.89</v>
      </c>
      <c r="H84" s="9">
        <f t="shared" si="0"/>
        <v>15.63</v>
      </c>
      <c r="I84" s="9">
        <f t="shared" si="1"/>
        <v>1.8900000000000006</v>
      </c>
    </row>
    <row r="85" spans="1:9" x14ac:dyDescent="0.4">
      <c r="A85" s="2">
        <v>38717</v>
      </c>
      <c r="B85" s="3">
        <v>1379.37</v>
      </c>
      <c r="C85" s="3">
        <v>7.82</v>
      </c>
      <c r="D85" s="3">
        <v>55.99</v>
      </c>
      <c r="E85" s="4">
        <v>633429077</v>
      </c>
      <c r="F85">
        <v>4.66</v>
      </c>
      <c r="G85">
        <v>1.74</v>
      </c>
      <c r="H85" s="9">
        <f t="shared" si="0"/>
        <v>9.56</v>
      </c>
      <c r="I85" s="9">
        <f t="shared" si="1"/>
        <v>1.7400000000000002</v>
      </c>
    </row>
    <row r="86" spans="1:9" x14ac:dyDescent="0.4">
      <c r="A86" s="5">
        <v>38748</v>
      </c>
      <c r="B86" s="6">
        <v>1399.83</v>
      </c>
      <c r="C86" s="6">
        <v>1.48</v>
      </c>
      <c r="D86" s="6">
        <v>50.08</v>
      </c>
      <c r="E86" s="7">
        <v>643695771</v>
      </c>
      <c r="F86">
        <v>4.6100000000000003</v>
      </c>
      <c r="G86">
        <v>1.72</v>
      </c>
      <c r="H86" s="9">
        <f t="shared" si="0"/>
        <v>3.2</v>
      </c>
      <c r="I86" s="9">
        <f t="shared" si="1"/>
        <v>1.7200000000000002</v>
      </c>
    </row>
    <row r="87" spans="1:9" x14ac:dyDescent="0.4">
      <c r="A87" s="2">
        <v>38776</v>
      </c>
      <c r="B87" s="3">
        <v>1371.59</v>
      </c>
      <c r="C87" s="3">
        <v>-0.94</v>
      </c>
      <c r="D87" s="3">
        <v>35.619999999999997</v>
      </c>
      <c r="E87" s="4">
        <v>645781792</v>
      </c>
      <c r="F87">
        <v>4.5599999999999996</v>
      </c>
      <c r="G87">
        <v>1.72</v>
      </c>
      <c r="H87" s="9">
        <f t="shared" si="0"/>
        <v>0.78</v>
      </c>
      <c r="I87" s="9">
        <f t="shared" si="1"/>
        <v>1.72</v>
      </c>
    </row>
    <row r="88" spans="1:9" x14ac:dyDescent="0.4">
      <c r="A88" s="2">
        <v>38807</v>
      </c>
      <c r="B88" s="3">
        <v>1359.6</v>
      </c>
      <c r="C88" s="3">
        <v>-0.87</v>
      </c>
      <c r="D88" s="3">
        <v>40.79</v>
      </c>
      <c r="E88" s="4">
        <v>640636694</v>
      </c>
      <c r="F88">
        <v>4.57</v>
      </c>
      <c r="G88">
        <v>1.73</v>
      </c>
      <c r="H88" s="9">
        <f t="shared" si="0"/>
        <v>0.86</v>
      </c>
      <c r="I88" s="9">
        <f t="shared" si="1"/>
        <v>1.73</v>
      </c>
    </row>
    <row r="89" spans="1:9" x14ac:dyDescent="0.4">
      <c r="A89" s="2">
        <v>38837</v>
      </c>
      <c r="B89" s="3">
        <v>1419.73</v>
      </c>
      <c r="C89" s="3">
        <v>6.64</v>
      </c>
      <c r="D89" s="3">
        <v>54.7</v>
      </c>
      <c r="E89" s="4">
        <v>670158417</v>
      </c>
      <c r="F89">
        <v>4.6100000000000003</v>
      </c>
      <c r="G89">
        <v>1.61</v>
      </c>
      <c r="H89" s="9">
        <f t="shared" si="0"/>
        <v>8.25</v>
      </c>
      <c r="I89" s="9">
        <f t="shared" si="1"/>
        <v>1.6100000000000003</v>
      </c>
    </row>
    <row r="90" spans="1:9" x14ac:dyDescent="0.4">
      <c r="A90" s="2">
        <v>38868</v>
      </c>
      <c r="B90" s="3">
        <v>1317.7</v>
      </c>
      <c r="C90" s="3">
        <v>-7.19</v>
      </c>
      <c r="D90" s="3">
        <v>35.979999999999997</v>
      </c>
      <c r="E90" s="4">
        <v>622707130</v>
      </c>
      <c r="F90">
        <v>4.59</v>
      </c>
      <c r="G90">
        <v>1.73</v>
      </c>
      <c r="H90" s="9">
        <f t="shared" si="0"/>
        <v>-5.4600000000000009</v>
      </c>
      <c r="I90" s="9">
        <f t="shared" si="1"/>
        <v>1.7299999999999995</v>
      </c>
    </row>
    <row r="91" spans="1:9" x14ac:dyDescent="0.4">
      <c r="A91" s="5">
        <v>38898</v>
      </c>
      <c r="B91" s="6">
        <v>1295.1500000000001</v>
      </c>
      <c r="C91" s="6">
        <v>-1.71</v>
      </c>
      <c r="D91" s="6">
        <v>28.47</v>
      </c>
      <c r="E91" s="7">
        <v>613768313</v>
      </c>
      <c r="F91">
        <v>4.7</v>
      </c>
      <c r="G91">
        <v>1.76</v>
      </c>
      <c r="H91" s="9">
        <f t="shared" si="0"/>
        <v>5.0000000000000044E-2</v>
      </c>
      <c r="I91" s="9">
        <f t="shared" si="1"/>
        <v>1.76</v>
      </c>
    </row>
    <row r="92" spans="1:9" x14ac:dyDescent="0.4">
      <c r="A92" s="2">
        <v>38929</v>
      </c>
      <c r="B92" s="3">
        <v>1297.82</v>
      </c>
      <c r="C92" s="3">
        <v>0.21</v>
      </c>
      <c r="D92" s="3">
        <v>16.78</v>
      </c>
      <c r="E92" s="4">
        <v>616362186</v>
      </c>
      <c r="F92">
        <v>4.82</v>
      </c>
      <c r="G92">
        <v>1.84</v>
      </c>
      <c r="H92" s="9">
        <f t="shared" si="0"/>
        <v>2.0500000000000003</v>
      </c>
      <c r="I92" s="9">
        <f t="shared" si="1"/>
        <v>1.8400000000000003</v>
      </c>
    </row>
    <row r="93" spans="1:9" x14ac:dyDescent="0.4">
      <c r="A93" s="2">
        <v>38960</v>
      </c>
      <c r="B93" s="3">
        <v>1352.74</v>
      </c>
      <c r="C93" s="3">
        <v>4.2300000000000004</v>
      </c>
      <c r="D93" s="3">
        <v>24.87</v>
      </c>
      <c r="E93" s="4">
        <v>643631001</v>
      </c>
      <c r="F93">
        <v>4.76</v>
      </c>
      <c r="G93">
        <v>1.76</v>
      </c>
      <c r="H93" s="9">
        <f t="shared" si="0"/>
        <v>5.99</v>
      </c>
      <c r="I93" s="9">
        <f t="shared" si="1"/>
        <v>1.7599999999999998</v>
      </c>
    </row>
    <row r="94" spans="1:9" x14ac:dyDescent="0.4">
      <c r="A94" s="2">
        <v>38990</v>
      </c>
      <c r="B94" s="3">
        <v>1371.41</v>
      </c>
      <c r="C94" s="3">
        <v>1.99</v>
      </c>
      <c r="D94" s="3">
        <v>11.39</v>
      </c>
      <c r="E94" s="4">
        <v>652925839</v>
      </c>
      <c r="F94">
        <v>4.68</v>
      </c>
      <c r="G94">
        <v>1.74</v>
      </c>
      <c r="H94" s="9">
        <f t="shared" si="0"/>
        <v>3.73</v>
      </c>
      <c r="I94" s="9">
        <f t="shared" si="1"/>
        <v>1.74</v>
      </c>
    </row>
    <row r="95" spans="1:9" x14ac:dyDescent="0.4">
      <c r="A95" s="2">
        <v>39021</v>
      </c>
      <c r="B95" s="3">
        <v>1364.55</v>
      </c>
      <c r="C95" s="3">
        <v>-0.5</v>
      </c>
      <c r="D95" s="3">
        <v>17.829999999999998</v>
      </c>
      <c r="E95" s="4">
        <v>650140273</v>
      </c>
      <c r="F95">
        <v>4.63</v>
      </c>
      <c r="G95">
        <v>1.74</v>
      </c>
      <c r="H95" s="9">
        <f t="shared" si="0"/>
        <v>1.24</v>
      </c>
      <c r="I95" s="9">
        <f t="shared" si="1"/>
        <v>1.74</v>
      </c>
    </row>
    <row r="96" spans="1:9" x14ac:dyDescent="0.4">
      <c r="A96" s="5">
        <v>39051</v>
      </c>
      <c r="B96" s="6">
        <v>1432.21</v>
      </c>
      <c r="C96" s="6">
        <v>5.61</v>
      </c>
      <c r="D96" s="6">
        <v>10.39</v>
      </c>
      <c r="E96" s="7">
        <v>682160691</v>
      </c>
      <c r="F96">
        <v>4.7</v>
      </c>
      <c r="G96">
        <v>1.66</v>
      </c>
      <c r="H96" s="9">
        <f t="shared" si="0"/>
        <v>7.2700000000000005</v>
      </c>
      <c r="I96" s="9">
        <f t="shared" si="1"/>
        <v>1.6600000000000001</v>
      </c>
    </row>
    <row r="97" spans="1:9" x14ac:dyDescent="0.4">
      <c r="A97" s="2">
        <v>39082</v>
      </c>
      <c r="B97" s="3">
        <v>1434.46</v>
      </c>
      <c r="C97" s="3">
        <v>1.63</v>
      </c>
      <c r="D97" s="3">
        <v>4.8499999999999996</v>
      </c>
      <c r="E97" s="4">
        <v>684261003</v>
      </c>
      <c r="F97">
        <v>4.8499999999999996</v>
      </c>
      <c r="G97">
        <v>1.66</v>
      </c>
      <c r="H97" s="9">
        <f t="shared" si="0"/>
        <v>3.29</v>
      </c>
      <c r="I97" s="9">
        <f t="shared" si="1"/>
        <v>1.6600000000000001</v>
      </c>
    </row>
    <row r="98" spans="1:9" x14ac:dyDescent="0.4">
      <c r="A98" s="2">
        <v>39113</v>
      </c>
      <c r="B98" s="3">
        <v>1360.23</v>
      </c>
      <c r="C98" s="3">
        <v>-5.17</v>
      </c>
      <c r="D98" s="3">
        <v>-2.83</v>
      </c>
      <c r="E98" s="4">
        <v>649200328</v>
      </c>
      <c r="F98">
        <v>4.9800000000000004</v>
      </c>
      <c r="G98">
        <v>1.75</v>
      </c>
      <c r="H98" s="9">
        <f t="shared" si="0"/>
        <v>-3.42</v>
      </c>
      <c r="I98" s="9">
        <f t="shared" si="1"/>
        <v>1.75</v>
      </c>
    </row>
    <row r="99" spans="1:9" x14ac:dyDescent="0.4">
      <c r="A99" s="2">
        <v>39141</v>
      </c>
      <c r="B99" s="3">
        <v>1417.34</v>
      </c>
      <c r="C99" s="3">
        <v>3.36</v>
      </c>
      <c r="D99" s="3">
        <v>3.34</v>
      </c>
      <c r="E99" s="4">
        <v>676959543</v>
      </c>
      <c r="F99">
        <v>4.96</v>
      </c>
      <c r="G99">
        <v>1.68</v>
      </c>
      <c r="H99" s="9">
        <f t="shared" si="0"/>
        <v>5.04</v>
      </c>
      <c r="I99" s="9">
        <f t="shared" si="1"/>
        <v>1.6800000000000002</v>
      </c>
    </row>
    <row r="100" spans="1:9" x14ac:dyDescent="0.4">
      <c r="A100" s="2">
        <v>39172</v>
      </c>
      <c r="B100" s="3">
        <v>1452.55</v>
      </c>
      <c r="C100" s="3">
        <v>2.48</v>
      </c>
      <c r="D100" s="3">
        <v>8.5500000000000007</v>
      </c>
      <c r="E100" s="4">
        <v>694228659</v>
      </c>
      <c r="F100">
        <v>4.8899999999999997</v>
      </c>
      <c r="G100">
        <v>1.64</v>
      </c>
      <c r="H100" s="9">
        <f t="shared" si="0"/>
        <v>4.12</v>
      </c>
      <c r="I100" s="9">
        <f t="shared" si="1"/>
        <v>1.6400000000000001</v>
      </c>
    </row>
    <row r="101" spans="1:9" x14ac:dyDescent="0.4">
      <c r="A101" s="5">
        <v>39202</v>
      </c>
      <c r="B101" s="6">
        <v>1542.24</v>
      </c>
      <c r="C101" s="6">
        <v>6.17</v>
      </c>
      <c r="D101" s="6">
        <v>8.6300000000000008</v>
      </c>
      <c r="E101" s="7">
        <v>736901357</v>
      </c>
      <c r="F101">
        <v>4.97</v>
      </c>
      <c r="G101">
        <v>1.78</v>
      </c>
      <c r="H101" s="9">
        <f t="shared" si="0"/>
        <v>7.95</v>
      </c>
      <c r="I101" s="9">
        <f t="shared" si="1"/>
        <v>1.7800000000000002</v>
      </c>
    </row>
    <row r="102" spans="1:9" x14ac:dyDescent="0.4">
      <c r="A102" s="2">
        <v>39233</v>
      </c>
      <c r="B102" s="3">
        <v>1700.91</v>
      </c>
      <c r="C102" s="3">
        <v>10.29</v>
      </c>
      <c r="D102" s="3">
        <v>29.08</v>
      </c>
      <c r="E102" s="4">
        <v>813305059</v>
      </c>
      <c r="F102">
        <v>5.1100000000000003</v>
      </c>
      <c r="G102">
        <v>1.61</v>
      </c>
      <c r="H102" s="9">
        <f t="shared" si="0"/>
        <v>11.899999999999999</v>
      </c>
      <c r="I102" s="9">
        <f t="shared" si="1"/>
        <v>1.6099999999999994</v>
      </c>
    </row>
    <row r="103" spans="1:9" x14ac:dyDescent="0.4">
      <c r="A103" s="2">
        <v>39263</v>
      </c>
      <c r="B103" s="3">
        <v>1743.6</v>
      </c>
      <c r="C103" s="3">
        <v>4.92</v>
      </c>
      <c r="D103" s="3">
        <v>38.049999999999997</v>
      </c>
      <c r="E103" s="4">
        <v>840914496</v>
      </c>
      <c r="F103">
        <v>5.15</v>
      </c>
      <c r="G103">
        <v>1.56</v>
      </c>
      <c r="H103" s="9">
        <f t="shared" si="0"/>
        <v>6.48</v>
      </c>
      <c r="I103" s="9">
        <f t="shared" si="1"/>
        <v>1.5600000000000005</v>
      </c>
    </row>
    <row r="104" spans="1:9" x14ac:dyDescent="0.4">
      <c r="A104" s="2">
        <v>39294</v>
      </c>
      <c r="B104" s="3">
        <v>1933.27</v>
      </c>
      <c r="C104" s="3">
        <v>10.88</v>
      </c>
      <c r="D104" s="3">
        <v>48.96</v>
      </c>
      <c r="E104" s="4">
        <v>937694721</v>
      </c>
      <c r="F104">
        <v>5.29</v>
      </c>
      <c r="G104">
        <v>1.37</v>
      </c>
      <c r="H104" s="9">
        <f t="shared" si="0"/>
        <v>12.25</v>
      </c>
      <c r="I104" s="9">
        <f t="shared" si="1"/>
        <v>1.3699999999999992</v>
      </c>
    </row>
    <row r="105" spans="1:9" x14ac:dyDescent="0.4">
      <c r="A105" s="2">
        <v>39325</v>
      </c>
      <c r="B105" s="3">
        <v>1873.24</v>
      </c>
      <c r="C105" s="3">
        <v>-3.11</v>
      </c>
      <c r="D105" s="3">
        <v>38.479999999999997</v>
      </c>
      <c r="E105" s="4">
        <v>912254985</v>
      </c>
      <c r="F105">
        <v>5.29</v>
      </c>
      <c r="G105">
        <v>1.41</v>
      </c>
      <c r="H105" s="9">
        <f t="shared" si="0"/>
        <v>-1.7</v>
      </c>
      <c r="I105" s="9">
        <f t="shared" si="1"/>
        <v>1.41</v>
      </c>
    </row>
    <row r="106" spans="1:9" x14ac:dyDescent="0.4">
      <c r="A106" s="5">
        <v>39355</v>
      </c>
      <c r="B106" s="6">
        <v>1946.48</v>
      </c>
      <c r="C106" s="6">
        <v>6.41</v>
      </c>
      <c r="D106" s="6">
        <v>41.93</v>
      </c>
      <c r="E106" s="7">
        <v>953891509</v>
      </c>
      <c r="F106">
        <v>5.4</v>
      </c>
      <c r="G106">
        <v>1.35</v>
      </c>
      <c r="H106" s="9">
        <f t="shared" si="0"/>
        <v>7.76</v>
      </c>
      <c r="I106" s="9">
        <f t="shared" si="1"/>
        <v>1.3499999999999996</v>
      </c>
    </row>
    <row r="107" spans="1:9" x14ac:dyDescent="0.4">
      <c r="A107" s="2">
        <v>39386</v>
      </c>
      <c r="B107" s="3">
        <v>2064.85</v>
      </c>
      <c r="C107" s="3">
        <v>6.08</v>
      </c>
      <c r="D107" s="3">
        <v>51.32</v>
      </c>
      <c r="E107" s="4">
        <v>1009507570</v>
      </c>
      <c r="F107">
        <v>5.4</v>
      </c>
      <c r="G107">
        <v>1.28</v>
      </c>
      <c r="H107" s="9">
        <f t="shared" si="0"/>
        <v>7.36</v>
      </c>
      <c r="I107" s="9">
        <f t="shared" si="1"/>
        <v>1.2800000000000002</v>
      </c>
    </row>
    <row r="108" spans="1:9" x14ac:dyDescent="0.4">
      <c r="A108" s="2">
        <v>39416</v>
      </c>
      <c r="B108" s="3">
        <v>1906</v>
      </c>
      <c r="C108" s="3">
        <v>-7.13</v>
      </c>
      <c r="D108" s="3">
        <v>33.08</v>
      </c>
      <c r="E108" s="4">
        <v>934559273</v>
      </c>
      <c r="F108">
        <v>5.45</v>
      </c>
      <c r="G108">
        <v>1.38</v>
      </c>
      <c r="H108" s="9">
        <f t="shared" si="0"/>
        <v>-5.75</v>
      </c>
      <c r="I108" s="9">
        <f t="shared" si="1"/>
        <v>1.38</v>
      </c>
    </row>
    <row r="109" spans="1:9" x14ac:dyDescent="0.4">
      <c r="A109" s="2">
        <v>39447</v>
      </c>
      <c r="B109" s="3">
        <v>1897.13</v>
      </c>
      <c r="C109" s="3">
        <v>3.4</v>
      </c>
      <c r="D109" s="3">
        <v>32.25</v>
      </c>
      <c r="E109" s="4">
        <v>931882017</v>
      </c>
      <c r="F109">
        <v>5.7</v>
      </c>
      <c r="G109">
        <v>1.39</v>
      </c>
      <c r="H109" s="9">
        <f t="shared" si="0"/>
        <v>4.79</v>
      </c>
      <c r="I109" s="9">
        <f t="shared" si="1"/>
        <v>1.3900000000000001</v>
      </c>
    </row>
    <row r="110" spans="1:9" x14ac:dyDescent="0.4">
      <c r="A110" s="2">
        <v>39478</v>
      </c>
      <c r="B110" s="3">
        <v>1624.68</v>
      </c>
      <c r="C110" s="3">
        <v>-14.36</v>
      </c>
      <c r="D110" s="3">
        <v>19.440000000000001</v>
      </c>
      <c r="E110" s="4">
        <v>798671622</v>
      </c>
      <c r="F110">
        <v>5.47</v>
      </c>
      <c r="G110">
        <v>1.62</v>
      </c>
      <c r="H110" s="9">
        <f t="shared" si="0"/>
        <v>-12.739999999999998</v>
      </c>
      <c r="I110" s="9">
        <f t="shared" si="1"/>
        <v>1.620000000000001</v>
      </c>
    </row>
    <row r="111" spans="1:9" x14ac:dyDescent="0.4">
      <c r="A111" s="5">
        <v>39507</v>
      </c>
      <c r="B111" s="6">
        <v>1711.62</v>
      </c>
      <c r="C111" s="6">
        <v>4.5</v>
      </c>
      <c r="D111" s="6">
        <v>20.76</v>
      </c>
      <c r="E111" s="7">
        <v>841962877</v>
      </c>
      <c r="F111">
        <v>5</v>
      </c>
      <c r="G111">
        <v>1.54</v>
      </c>
      <c r="H111" s="9">
        <f t="shared" si="0"/>
        <v>6.04</v>
      </c>
      <c r="I111" s="9">
        <f t="shared" si="1"/>
        <v>1.54</v>
      </c>
    </row>
    <row r="112" spans="1:9" x14ac:dyDescent="0.4">
      <c r="A112" s="2">
        <v>39538</v>
      </c>
      <c r="B112" s="3">
        <v>1703.99</v>
      </c>
      <c r="C112" s="3">
        <v>-0.45</v>
      </c>
      <c r="D112" s="3">
        <v>17.309999999999999</v>
      </c>
      <c r="E112" s="4">
        <v>842302902</v>
      </c>
      <c r="F112">
        <v>5.05</v>
      </c>
      <c r="G112">
        <v>1.54</v>
      </c>
      <c r="H112" s="9">
        <f t="shared" si="0"/>
        <v>1.0900000000000001</v>
      </c>
      <c r="I112" s="9">
        <f t="shared" si="1"/>
        <v>1.54</v>
      </c>
    </row>
    <row r="113" spans="1:9" x14ac:dyDescent="0.4">
      <c r="A113" s="2">
        <v>39568</v>
      </c>
      <c r="B113" s="3">
        <v>1825.47</v>
      </c>
      <c r="C113" s="3">
        <v>7.27</v>
      </c>
      <c r="D113" s="3">
        <v>18.36</v>
      </c>
      <c r="E113" s="4">
        <v>905216229</v>
      </c>
      <c r="F113">
        <v>5.07</v>
      </c>
      <c r="G113">
        <v>1.67</v>
      </c>
      <c r="H113" s="9">
        <f t="shared" si="0"/>
        <v>8.94</v>
      </c>
      <c r="I113" s="9">
        <f t="shared" si="1"/>
        <v>1.67</v>
      </c>
    </row>
    <row r="114" spans="1:9" x14ac:dyDescent="0.4">
      <c r="A114" s="2">
        <v>39599</v>
      </c>
      <c r="B114" s="3">
        <v>1852.02</v>
      </c>
      <c r="C114" s="3">
        <v>1.45</v>
      </c>
      <c r="D114" s="3">
        <v>11.38</v>
      </c>
      <c r="E114" s="4">
        <v>919342481</v>
      </c>
      <c r="F114">
        <v>5.17</v>
      </c>
      <c r="G114">
        <v>1.64</v>
      </c>
      <c r="H114" s="9">
        <f t="shared" si="0"/>
        <v>3.09</v>
      </c>
      <c r="I114" s="9">
        <f t="shared" si="1"/>
        <v>1.64</v>
      </c>
    </row>
    <row r="115" spans="1:9" x14ac:dyDescent="0.4">
      <c r="A115" s="2">
        <v>39629</v>
      </c>
      <c r="B115" s="3">
        <v>1674.92</v>
      </c>
      <c r="C115" s="3">
        <v>-9.56</v>
      </c>
      <c r="D115" s="3">
        <v>-3.94</v>
      </c>
      <c r="E115" s="4">
        <v>832397718</v>
      </c>
      <c r="F115">
        <v>5.46</v>
      </c>
      <c r="G115">
        <v>1.81</v>
      </c>
      <c r="H115" s="9">
        <f t="shared" si="0"/>
        <v>-7.75</v>
      </c>
      <c r="I115" s="9">
        <f t="shared" si="1"/>
        <v>1.8100000000000005</v>
      </c>
    </row>
    <row r="116" spans="1:9" x14ac:dyDescent="0.4">
      <c r="A116" s="5">
        <v>39660</v>
      </c>
      <c r="B116" s="6">
        <v>1594.67</v>
      </c>
      <c r="C116" s="6">
        <v>-4.79</v>
      </c>
      <c r="D116" s="6">
        <v>-17.510000000000002</v>
      </c>
      <c r="E116" s="7">
        <v>793424800</v>
      </c>
      <c r="F116">
        <v>5.84</v>
      </c>
      <c r="G116">
        <v>1.9</v>
      </c>
      <c r="H116" s="9">
        <f t="shared" si="0"/>
        <v>-2.89</v>
      </c>
      <c r="I116" s="9">
        <f t="shared" si="1"/>
        <v>1.9</v>
      </c>
    </row>
    <row r="117" spans="1:9" x14ac:dyDescent="0.4">
      <c r="A117" s="2">
        <v>39691</v>
      </c>
      <c r="B117" s="3">
        <v>1474.24</v>
      </c>
      <c r="C117" s="3">
        <v>-5.93</v>
      </c>
      <c r="D117" s="3">
        <v>-19.27</v>
      </c>
      <c r="E117" s="4">
        <v>733565083</v>
      </c>
      <c r="F117">
        <v>5.87</v>
      </c>
      <c r="G117">
        <v>2.12</v>
      </c>
      <c r="H117" s="9">
        <f t="shared" si="0"/>
        <v>-3.8099999999999996</v>
      </c>
      <c r="I117" s="9">
        <f t="shared" si="1"/>
        <v>2.12</v>
      </c>
    </row>
    <row r="118" spans="1:9" x14ac:dyDescent="0.4">
      <c r="A118" s="2">
        <v>39721</v>
      </c>
      <c r="B118" s="3">
        <v>1448.06</v>
      </c>
      <c r="C118" s="3">
        <v>-1.78</v>
      </c>
      <c r="D118" s="3">
        <v>-25.61</v>
      </c>
      <c r="E118" s="4">
        <v>720767140</v>
      </c>
      <c r="F118">
        <v>5.9</v>
      </c>
      <c r="G118">
        <v>2.15</v>
      </c>
      <c r="H118" s="9">
        <f t="shared" si="0"/>
        <v>0.36999999999999988</v>
      </c>
      <c r="I118" s="9">
        <f t="shared" si="1"/>
        <v>2.15</v>
      </c>
    </row>
    <row r="119" spans="1:9" x14ac:dyDescent="0.4">
      <c r="A119" s="2">
        <v>39752</v>
      </c>
      <c r="B119" s="3">
        <v>1113.06</v>
      </c>
      <c r="C119" s="3">
        <v>-23.13</v>
      </c>
      <c r="D119" s="3">
        <v>-46.09</v>
      </c>
      <c r="E119" s="4">
        <v>553407929</v>
      </c>
      <c r="F119">
        <v>5.66</v>
      </c>
      <c r="G119">
        <v>2.66</v>
      </c>
      <c r="H119" s="9">
        <f t="shared" si="0"/>
        <v>-20.47</v>
      </c>
      <c r="I119" s="9">
        <f t="shared" si="1"/>
        <v>2.66</v>
      </c>
    </row>
    <row r="120" spans="1:9" x14ac:dyDescent="0.4">
      <c r="A120" s="2">
        <v>39782</v>
      </c>
      <c r="B120" s="3">
        <v>1076.07</v>
      </c>
      <c r="C120" s="3">
        <v>7.7</v>
      </c>
      <c r="D120" s="3">
        <v>-41.35</v>
      </c>
      <c r="E120" s="4">
        <v>541675641</v>
      </c>
      <c r="F120">
        <v>5.33</v>
      </c>
      <c r="G120">
        <v>2.71</v>
      </c>
      <c r="H120" s="9">
        <f t="shared" si="0"/>
        <v>10.41</v>
      </c>
      <c r="I120" s="9">
        <f t="shared" si="1"/>
        <v>2.71</v>
      </c>
    </row>
    <row r="121" spans="1:9" x14ac:dyDescent="0.4">
      <c r="A121" s="5">
        <v>39813</v>
      </c>
      <c r="B121" s="6">
        <v>1124.47</v>
      </c>
      <c r="C121" s="6">
        <v>4.5</v>
      </c>
      <c r="D121" s="6">
        <v>-40.729999999999997</v>
      </c>
      <c r="E121" s="7">
        <v>566350276</v>
      </c>
      <c r="F121">
        <v>4.08</v>
      </c>
      <c r="G121">
        <v>2.58</v>
      </c>
      <c r="H121" s="9">
        <f t="shared" si="0"/>
        <v>7.08</v>
      </c>
      <c r="I121" s="9">
        <f t="shared" si="1"/>
        <v>2.58</v>
      </c>
    </row>
    <row r="122" spans="1:9" x14ac:dyDescent="0.4">
      <c r="A122" s="2">
        <v>39844</v>
      </c>
      <c r="B122" s="3">
        <v>1162.1099999999999</v>
      </c>
      <c r="C122" s="3">
        <v>3.35</v>
      </c>
      <c r="D122" s="3">
        <v>-26.87</v>
      </c>
      <c r="E122" s="4">
        <v>586244786</v>
      </c>
      <c r="F122">
        <v>2.75</v>
      </c>
      <c r="G122">
        <v>2.5</v>
      </c>
      <c r="H122" s="9">
        <f t="shared" si="0"/>
        <v>5.85</v>
      </c>
      <c r="I122" s="9">
        <f t="shared" si="1"/>
        <v>2.4999999999999996</v>
      </c>
    </row>
    <row r="123" spans="1:9" x14ac:dyDescent="0.4">
      <c r="A123" s="2">
        <v>39872</v>
      </c>
      <c r="B123" s="3">
        <v>1063.03</v>
      </c>
      <c r="C123" s="3">
        <v>-2.78</v>
      </c>
      <c r="D123" s="3">
        <v>-38.229999999999997</v>
      </c>
      <c r="E123" s="4">
        <v>537837944</v>
      </c>
      <c r="F123">
        <v>2.52</v>
      </c>
      <c r="G123">
        <v>2.73</v>
      </c>
      <c r="H123" s="9">
        <f t="shared" si="0"/>
        <v>-4.9999999999999822E-2</v>
      </c>
      <c r="I123" s="9">
        <f t="shared" si="1"/>
        <v>2.73</v>
      </c>
    </row>
    <row r="124" spans="1:9" x14ac:dyDescent="0.4">
      <c r="A124" s="2">
        <v>39903</v>
      </c>
      <c r="B124" s="3">
        <v>1206.26</v>
      </c>
      <c r="C124" s="3">
        <v>13.47</v>
      </c>
      <c r="D124" s="3">
        <v>-29.21</v>
      </c>
      <c r="E124" s="4">
        <v>610884048</v>
      </c>
      <c r="F124">
        <v>2.61</v>
      </c>
      <c r="G124">
        <v>2.52</v>
      </c>
      <c r="H124" s="9">
        <f t="shared" si="0"/>
        <v>15.99</v>
      </c>
      <c r="I124" s="9">
        <f t="shared" si="1"/>
        <v>2.5199999999999996</v>
      </c>
    </row>
    <row r="125" spans="1:9" x14ac:dyDescent="0.4">
      <c r="A125" s="2">
        <v>39933</v>
      </c>
      <c r="B125" s="3">
        <v>1369.36</v>
      </c>
      <c r="C125" s="3">
        <v>14.36</v>
      </c>
      <c r="D125" s="3">
        <v>-24.99</v>
      </c>
      <c r="E125" s="4">
        <v>696593896</v>
      </c>
      <c r="F125">
        <v>2.58</v>
      </c>
      <c r="G125">
        <v>2.23</v>
      </c>
      <c r="H125" s="9">
        <f t="shared" si="0"/>
        <v>16.59</v>
      </c>
      <c r="I125" s="9">
        <f t="shared" si="1"/>
        <v>2.2300000000000004</v>
      </c>
    </row>
    <row r="126" spans="1:9" x14ac:dyDescent="0.4">
      <c r="A126" s="5">
        <v>39964</v>
      </c>
      <c r="B126" s="6">
        <v>1395.89</v>
      </c>
      <c r="C126" s="6">
        <v>4.29</v>
      </c>
      <c r="D126" s="6">
        <v>-24.19</v>
      </c>
      <c r="E126" s="7">
        <v>710129565</v>
      </c>
      <c r="F126">
        <v>2.62</v>
      </c>
      <c r="G126">
        <v>1.47</v>
      </c>
      <c r="H126" s="9">
        <f t="shared" ref="H126:H189" si="2">C126+G126</f>
        <v>5.76</v>
      </c>
      <c r="I126" s="9">
        <f t="shared" si="1"/>
        <v>1.4699999999999998</v>
      </c>
    </row>
    <row r="127" spans="1:9" x14ac:dyDescent="0.4">
      <c r="A127" s="2">
        <v>39994</v>
      </c>
      <c r="B127" s="3">
        <v>1390.07</v>
      </c>
      <c r="C127" s="3">
        <v>-0.42</v>
      </c>
      <c r="D127" s="3">
        <v>-17.010000000000002</v>
      </c>
      <c r="E127" s="4">
        <v>703887562</v>
      </c>
      <c r="F127">
        <v>2.86</v>
      </c>
      <c r="G127">
        <v>1.49</v>
      </c>
      <c r="H127" s="9">
        <f t="shared" si="2"/>
        <v>1.07</v>
      </c>
      <c r="I127" s="9">
        <f t="shared" ref="I127:I190" si="3">H127-C127</f>
        <v>1.49</v>
      </c>
    </row>
    <row r="128" spans="1:9" x14ac:dyDescent="0.4">
      <c r="A128" s="2">
        <v>40025</v>
      </c>
      <c r="B128" s="3">
        <v>1557.29</v>
      </c>
      <c r="C128" s="3">
        <v>12.03</v>
      </c>
      <c r="D128" s="3">
        <v>-2.34</v>
      </c>
      <c r="E128" s="4">
        <v>791152626</v>
      </c>
      <c r="F128">
        <v>2.82</v>
      </c>
      <c r="G128">
        <v>1.33</v>
      </c>
      <c r="H128" s="9">
        <f t="shared" si="2"/>
        <v>13.36</v>
      </c>
      <c r="I128" s="9">
        <f t="shared" si="3"/>
        <v>1.33</v>
      </c>
    </row>
    <row r="129" spans="1:9" x14ac:dyDescent="0.4">
      <c r="A129" s="2">
        <v>40056</v>
      </c>
      <c r="B129" s="3">
        <v>1591.85</v>
      </c>
      <c r="C129" s="3">
        <v>2.2200000000000002</v>
      </c>
      <c r="D129" s="3">
        <v>7.98</v>
      </c>
      <c r="E129" s="4">
        <v>810768237</v>
      </c>
      <c r="F129">
        <v>3.31</v>
      </c>
      <c r="G129">
        <v>1.25</v>
      </c>
      <c r="H129" s="9">
        <f t="shared" si="2"/>
        <v>3.47</v>
      </c>
      <c r="I129" s="9">
        <f t="shared" si="3"/>
        <v>1.25</v>
      </c>
    </row>
    <row r="130" spans="1:9" x14ac:dyDescent="0.4">
      <c r="A130" s="2">
        <v>40086</v>
      </c>
      <c r="B130" s="3">
        <v>1673.14</v>
      </c>
      <c r="C130" s="3">
        <v>4.05</v>
      </c>
      <c r="D130" s="3">
        <v>15.54</v>
      </c>
      <c r="E130" s="4">
        <v>852501428</v>
      </c>
      <c r="F130">
        <v>3.47</v>
      </c>
      <c r="G130">
        <v>1.19</v>
      </c>
      <c r="H130" s="9">
        <f t="shared" si="2"/>
        <v>5.24</v>
      </c>
      <c r="I130" s="9">
        <f t="shared" si="3"/>
        <v>1.1900000000000004</v>
      </c>
    </row>
    <row r="131" spans="1:9" x14ac:dyDescent="0.4">
      <c r="A131" s="5">
        <v>40117</v>
      </c>
      <c r="B131" s="6">
        <v>1580.69</v>
      </c>
      <c r="C131" s="6">
        <v>-5.53</v>
      </c>
      <c r="D131" s="6">
        <v>45.72</v>
      </c>
      <c r="E131" s="7">
        <v>808732943</v>
      </c>
      <c r="F131">
        <v>3.54</v>
      </c>
      <c r="G131">
        <v>1.26</v>
      </c>
      <c r="H131" s="9">
        <f t="shared" si="2"/>
        <v>-4.2700000000000005</v>
      </c>
      <c r="I131" s="9">
        <f t="shared" si="3"/>
        <v>1.2599999999999998</v>
      </c>
    </row>
    <row r="132" spans="1:9" x14ac:dyDescent="0.4">
      <c r="A132" s="2">
        <v>40147</v>
      </c>
      <c r="B132" s="3">
        <v>1555.6</v>
      </c>
      <c r="C132" s="3">
        <v>-1.59</v>
      </c>
      <c r="D132" s="3">
        <v>44.56</v>
      </c>
      <c r="E132" s="4">
        <v>799348046</v>
      </c>
      <c r="F132">
        <v>3.29</v>
      </c>
      <c r="G132">
        <v>1.28</v>
      </c>
      <c r="H132" s="9">
        <f t="shared" si="2"/>
        <v>-0.31000000000000005</v>
      </c>
      <c r="I132" s="9">
        <f t="shared" si="3"/>
        <v>1.28</v>
      </c>
    </row>
    <row r="133" spans="1:9" x14ac:dyDescent="0.4">
      <c r="A133" s="2">
        <v>40178</v>
      </c>
      <c r="B133" s="3">
        <v>1682.77</v>
      </c>
      <c r="C133" s="3">
        <v>8.17</v>
      </c>
      <c r="D133" s="3">
        <v>49.65</v>
      </c>
      <c r="E133" s="4">
        <v>866761598</v>
      </c>
      <c r="F133">
        <v>3.35</v>
      </c>
      <c r="G133">
        <v>1.17</v>
      </c>
      <c r="H133" s="9">
        <f t="shared" si="2"/>
        <v>9.34</v>
      </c>
      <c r="I133" s="9">
        <f t="shared" si="3"/>
        <v>1.17</v>
      </c>
    </row>
    <row r="134" spans="1:9" x14ac:dyDescent="0.4">
      <c r="A134" s="2">
        <v>40209</v>
      </c>
      <c r="B134" s="3">
        <v>1602.43</v>
      </c>
      <c r="C134" s="3">
        <v>-4.1900000000000004</v>
      </c>
      <c r="D134" s="3">
        <v>37.36</v>
      </c>
      <c r="E134" s="4">
        <v>827703732</v>
      </c>
      <c r="F134">
        <v>3.33</v>
      </c>
      <c r="G134">
        <v>1.23</v>
      </c>
      <c r="H134" s="9">
        <f t="shared" si="2"/>
        <v>-2.9600000000000004</v>
      </c>
      <c r="I134" s="9">
        <f t="shared" si="3"/>
        <v>1.23</v>
      </c>
    </row>
    <row r="135" spans="1:9" x14ac:dyDescent="0.4">
      <c r="A135" s="2">
        <v>40237</v>
      </c>
      <c r="B135" s="3">
        <v>1594.58</v>
      </c>
      <c r="C135" s="3">
        <v>-2.61</v>
      </c>
      <c r="D135" s="3">
        <v>51.18</v>
      </c>
      <c r="E135" s="4">
        <v>824045773</v>
      </c>
      <c r="F135">
        <v>3.18</v>
      </c>
      <c r="G135">
        <v>1.23</v>
      </c>
      <c r="H135" s="9">
        <f t="shared" si="2"/>
        <v>-1.38</v>
      </c>
      <c r="I135" s="9">
        <f t="shared" si="3"/>
        <v>1.23</v>
      </c>
    </row>
    <row r="136" spans="1:9" x14ac:dyDescent="0.4">
      <c r="A136" s="5">
        <v>40268</v>
      </c>
      <c r="B136" s="6">
        <v>1692.85</v>
      </c>
      <c r="C136" s="6">
        <v>6.16</v>
      </c>
      <c r="D136" s="6">
        <v>40.340000000000003</v>
      </c>
      <c r="E136" s="7">
        <v>883214684</v>
      </c>
      <c r="F136">
        <v>2.89</v>
      </c>
      <c r="G136">
        <v>1.1499999999999999</v>
      </c>
      <c r="H136" s="9">
        <f t="shared" si="2"/>
        <v>7.3100000000000005</v>
      </c>
      <c r="I136" s="9">
        <f t="shared" si="3"/>
        <v>1.1500000000000004</v>
      </c>
    </row>
    <row r="137" spans="1:9" x14ac:dyDescent="0.4">
      <c r="A137" s="2">
        <v>40298</v>
      </c>
      <c r="B137" s="3">
        <v>1741.56</v>
      </c>
      <c r="C137" s="3">
        <v>2.4300000000000002</v>
      </c>
      <c r="D137" s="3">
        <v>27.18</v>
      </c>
      <c r="E137" s="4">
        <v>910204508</v>
      </c>
      <c r="F137">
        <v>2.7</v>
      </c>
      <c r="G137">
        <v>1.3</v>
      </c>
      <c r="H137" s="9">
        <f t="shared" si="2"/>
        <v>3.7300000000000004</v>
      </c>
      <c r="I137" s="9">
        <f t="shared" si="3"/>
        <v>1.3000000000000003</v>
      </c>
    </row>
    <row r="138" spans="1:9" x14ac:dyDescent="0.4">
      <c r="A138" s="2">
        <v>40329</v>
      </c>
      <c r="B138" s="3">
        <v>1641.25</v>
      </c>
      <c r="C138" s="3">
        <v>-5.76</v>
      </c>
      <c r="D138" s="3">
        <v>17.579999999999998</v>
      </c>
      <c r="E138" s="4">
        <v>883260985</v>
      </c>
      <c r="F138">
        <v>2.85</v>
      </c>
      <c r="G138">
        <v>1.35</v>
      </c>
      <c r="H138" s="9">
        <f t="shared" si="2"/>
        <v>-4.41</v>
      </c>
      <c r="I138" s="9">
        <f t="shared" si="3"/>
        <v>1.3499999999999996</v>
      </c>
    </row>
    <row r="139" spans="1:9" x14ac:dyDescent="0.4">
      <c r="A139" s="2">
        <v>40359</v>
      </c>
      <c r="B139" s="3">
        <v>1698.29</v>
      </c>
      <c r="C139" s="3">
        <v>4.6500000000000004</v>
      </c>
      <c r="D139" s="3">
        <v>22.17</v>
      </c>
      <c r="E139" s="4">
        <v>915372561</v>
      </c>
      <c r="F139">
        <v>3.03</v>
      </c>
      <c r="G139">
        <v>1.3</v>
      </c>
      <c r="H139" s="9">
        <f t="shared" si="2"/>
        <v>5.95</v>
      </c>
      <c r="I139" s="9">
        <f t="shared" si="3"/>
        <v>1.2999999999999998</v>
      </c>
    </row>
    <row r="140" spans="1:9" x14ac:dyDescent="0.4">
      <c r="A140" s="2">
        <v>40390</v>
      </c>
      <c r="B140" s="3">
        <v>1759.33</v>
      </c>
      <c r="C140" s="3">
        <v>3.59</v>
      </c>
      <c r="D140" s="3">
        <v>14.63</v>
      </c>
      <c r="E140" s="4">
        <v>950107300</v>
      </c>
      <c r="F140">
        <v>3.17</v>
      </c>
      <c r="G140">
        <v>1.31</v>
      </c>
      <c r="H140" s="9">
        <f t="shared" si="2"/>
        <v>4.9000000000000004</v>
      </c>
      <c r="I140" s="9">
        <f t="shared" si="3"/>
        <v>1.3100000000000005</v>
      </c>
    </row>
    <row r="141" spans="1:9" x14ac:dyDescent="0.4">
      <c r="A141" s="5">
        <v>40421</v>
      </c>
      <c r="B141" s="6">
        <v>1742.75</v>
      </c>
      <c r="C141" s="6">
        <v>-0.94</v>
      </c>
      <c r="D141" s="6">
        <v>9.48</v>
      </c>
      <c r="E141" s="7">
        <v>941919722</v>
      </c>
      <c r="F141">
        <v>3.19</v>
      </c>
      <c r="G141">
        <v>1.32</v>
      </c>
      <c r="H141" s="9">
        <f t="shared" si="2"/>
        <v>0.38000000000000012</v>
      </c>
      <c r="I141" s="9">
        <f t="shared" si="3"/>
        <v>1.32</v>
      </c>
    </row>
    <row r="142" spans="1:9" x14ac:dyDescent="0.4">
      <c r="A142" s="2">
        <v>40451</v>
      </c>
      <c r="B142" s="3">
        <v>1872.81</v>
      </c>
      <c r="C142" s="3">
        <v>6.4</v>
      </c>
      <c r="D142" s="3">
        <v>11.93</v>
      </c>
      <c r="E142" s="4">
        <v>1014770411</v>
      </c>
      <c r="F142">
        <v>3.03</v>
      </c>
      <c r="G142">
        <v>1.23</v>
      </c>
      <c r="H142" s="9">
        <f t="shared" si="2"/>
        <v>7.6300000000000008</v>
      </c>
      <c r="I142" s="9">
        <f t="shared" si="3"/>
        <v>1.2300000000000004</v>
      </c>
    </row>
    <row r="143" spans="1:9" x14ac:dyDescent="0.4">
      <c r="A143" s="2">
        <v>40482</v>
      </c>
      <c r="B143" s="3">
        <v>1882.95</v>
      </c>
      <c r="C143" s="3">
        <v>0.88</v>
      </c>
      <c r="D143" s="3">
        <v>18.73</v>
      </c>
      <c r="E143" s="4">
        <v>1021403750</v>
      </c>
      <c r="F143">
        <v>2.87</v>
      </c>
      <c r="G143">
        <v>1.22</v>
      </c>
      <c r="H143" s="9">
        <f t="shared" si="2"/>
        <v>2.1</v>
      </c>
      <c r="I143" s="9">
        <f t="shared" si="3"/>
        <v>1.2200000000000002</v>
      </c>
    </row>
    <row r="144" spans="1:9" x14ac:dyDescent="0.4">
      <c r="A144" s="2">
        <v>40512</v>
      </c>
      <c r="B144" s="3">
        <v>1904.63</v>
      </c>
      <c r="C144" s="3">
        <v>1.1499999999999999</v>
      </c>
      <c r="D144" s="3">
        <v>22.44</v>
      </c>
      <c r="E144" s="4">
        <v>1034228258</v>
      </c>
      <c r="F144">
        <v>3.03</v>
      </c>
      <c r="G144">
        <v>1.21</v>
      </c>
      <c r="H144" s="9">
        <f t="shared" si="2"/>
        <v>2.36</v>
      </c>
      <c r="I144" s="9">
        <f t="shared" si="3"/>
        <v>1.21</v>
      </c>
    </row>
    <row r="145" spans="1:9" x14ac:dyDescent="0.4">
      <c r="A145" s="2">
        <v>40543</v>
      </c>
      <c r="B145" s="3">
        <v>2051</v>
      </c>
      <c r="C145" s="3">
        <v>7.68</v>
      </c>
      <c r="D145" s="3">
        <v>21.88</v>
      </c>
      <c r="E145" s="4">
        <v>1116382712</v>
      </c>
      <c r="F145">
        <v>3.07</v>
      </c>
      <c r="G145">
        <v>1.1200000000000001</v>
      </c>
      <c r="H145" s="9">
        <f t="shared" si="2"/>
        <v>8.8000000000000007</v>
      </c>
      <c r="I145" s="9">
        <f t="shared" si="3"/>
        <v>1.120000000000001</v>
      </c>
    </row>
    <row r="146" spans="1:9" x14ac:dyDescent="0.4">
      <c r="A146" s="5">
        <v>40574</v>
      </c>
      <c r="B146" s="6">
        <v>2069.73</v>
      </c>
      <c r="C146" s="6">
        <v>0.91</v>
      </c>
      <c r="D146" s="6">
        <v>29.16</v>
      </c>
      <c r="E146" s="7">
        <v>1130041896</v>
      </c>
      <c r="F146">
        <v>3.32</v>
      </c>
      <c r="G146">
        <v>1.1100000000000001</v>
      </c>
      <c r="H146" s="9">
        <f t="shared" si="2"/>
        <v>2.02</v>
      </c>
      <c r="I146" s="9">
        <f t="shared" si="3"/>
        <v>1.1099999999999999</v>
      </c>
    </row>
    <row r="147" spans="1:9" x14ac:dyDescent="0.4">
      <c r="A147" s="2">
        <v>40602</v>
      </c>
      <c r="B147" s="3">
        <v>1939.3</v>
      </c>
      <c r="C147" s="3">
        <v>-8</v>
      </c>
      <c r="D147" s="3">
        <v>21.62</v>
      </c>
      <c r="E147" s="4">
        <v>1061496145</v>
      </c>
      <c r="F147">
        <v>3.58</v>
      </c>
      <c r="G147">
        <v>1.18</v>
      </c>
      <c r="H147" s="9">
        <f t="shared" si="2"/>
        <v>-6.82</v>
      </c>
      <c r="I147" s="9">
        <f t="shared" si="3"/>
        <v>1.1799999999999997</v>
      </c>
    </row>
    <row r="148" spans="1:9" x14ac:dyDescent="0.4">
      <c r="A148" s="2">
        <v>40633</v>
      </c>
      <c r="B148" s="3">
        <v>2106.6999999999998</v>
      </c>
      <c r="C148" s="3">
        <v>8.6300000000000008</v>
      </c>
      <c r="D148" s="3">
        <v>24.45</v>
      </c>
      <c r="E148" s="4">
        <v>1155072012</v>
      </c>
      <c r="F148">
        <v>3.6</v>
      </c>
      <c r="G148">
        <v>1.0900000000000001</v>
      </c>
      <c r="H148" s="9">
        <f t="shared" si="2"/>
        <v>9.7200000000000006</v>
      </c>
      <c r="I148" s="9">
        <f t="shared" si="3"/>
        <v>1.0899999999999999</v>
      </c>
    </row>
    <row r="149" spans="1:9" x14ac:dyDescent="0.4">
      <c r="A149" s="2">
        <v>40663</v>
      </c>
      <c r="B149" s="3">
        <v>2192.36</v>
      </c>
      <c r="C149" s="3">
        <v>5.8</v>
      </c>
      <c r="D149" s="3">
        <v>26.84</v>
      </c>
      <c r="E149" s="4">
        <v>1201955131</v>
      </c>
      <c r="F149">
        <v>3.61</v>
      </c>
      <c r="G149">
        <v>1.25</v>
      </c>
      <c r="H149" s="9">
        <f t="shared" si="2"/>
        <v>7.05</v>
      </c>
      <c r="I149" s="9">
        <f t="shared" si="3"/>
        <v>1.25</v>
      </c>
    </row>
    <row r="150" spans="1:9" x14ac:dyDescent="0.4">
      <c r="A150" s="2">
        <v>40694</v>
      </c>
      <c r="B150" s="3">
        <v>2142.4699999999998</v>
      </c>
      <c r="C150" s="3">
        <v>-2.2799999999999998</v>
      </c>
      <c r="D150" s="3">
        <v>30.54</v>
      </c>
      <c r="E150" s="4">
        <v>1175497933</v>
      </c>
      <c r="F150">
        <v>3.62</v>
      </c>
      <c r="G150">
        <v>1.28</v>
      </c>
      <c r="H150" s="9">
        <f t="shared" si="2"/>
        <v>-0.99999999999999978</v>
      </c>
      <c r="I150" s="9">
        <f t="shared" si="3"/>
        <v>1.28</v>
      </c>
    </row>
    <row r="151" spans="1:9" x14ac:dyDescent="0.4">
      <c r="A151" s="5">
        <v>40724</v>
      </c>
      <c r="B151" s="6">
        <v>2100.69</v>
      </c>
      <c r="C151" s="6">
        <v>0.33</v>
      </c>
      <c r="D151" s="6">
        <v>23.69</v>
      </c>
      <c r="E151" s="7">
        <v>1158655567</v>
      </c>
      <c r="F151">
        <v>3.62</v>
      </c>
      <c r="G151">
        <v>1.3</v>
      </c>
      <c r="H151" s="9">
        <f t="shared" si="2"/>
        <v>1.6300000000000001</v>
      </c>
      <c r="I151" s="9">
        <f t="shared" si="3"/>
        <v>1.3</v>
      </c>
    </row>
    <row r="152" spans="1:9" x14ac:dyDescent="0.4">
      <c r="A152" s="2">
        <v>40755</v>
      </c>
      <c r="B152" s="3">
        <v>2133.21</v>
      </c>
      <c r="C152" s="3">
        <v>1.85</v>
      </c>
      <c r="D152" s="3">
        <v>20.46</v>
      </c>
      <c r="E152" s="4">
        <v>1178424603</v>
      </c>
      <c r="F152">
        <v>3.73</v>
      </c>
      <c r="G152">
        <v>1.31</v>
      </c>
      <c r="H152" s="9">
        <f t="shared" si="2"/>
        <v>3.16</v>
      </c>
      <c r="I152" s="9">
        <f t="shared" si="3"/>
        <v>1.31</v>
      </c>
    </row>
    <row r="153" spans="1:9" x14ac:dyDescent="0.4">
      <c r="A153" s="2">
        <v>40786</v>
      </c>
      <c r="B153" s="3">
        <v>1880.11</v>
      </c>
      <c r="C153" s="3">
        <v>-11.86</v>
      </c>
      <c r="D153" s="3">
        <v>7.88</v>
      </c>
      <c r="E153" s="4">
        <v>1039206954</v>
      </c>
      <c r="F153">
        <v>3.59</v>
      </c>
      <c r="G153">
        <v>1.49</v>
      </c>
      <c r="H153" s="9">
        <f t="shared" si="2"/>
        <v>-10.37</v>
      </c>
      <c r="I153" s="9">
        <f t="shared" si="3"/>
        <v>1.4900000000000002</v>
      </c>
    </row>
    <row r="154" spans="1:9" x14ac:dyDescent="0.4">
      <c r="A154" s="2">
        <v>40816</v>
      </c>
      <c r="B154" s="3">
        <v>1769.65</v>
      </c>
      <c r="C154" s="3">
        <v>-4.0199999999999996</v>
      </c>
      <c r="D154" s="3">
        <v>-5.51</v>
      </c>
      <c r="E154" s="4">
        <v>979846947</v>
      </c>
      <c r="F154">
        <v>3.47</v>
      </c>
      <c r="G154">
        <v>1.59</v>
      </c>
      <c r="H154" s="9">
        <f t="shared" si="2"/>
        <v>-2.4299999999999997</v>
      </c>
      <c r="I154" s="9">
        <f t="shared" si="3"/>
        <v>1.5899999999999999</v>
      </c>
    </row>
    <row r="155" spans="1:9" x14ac:dyDescent="0.4">
      <c r="A155" s="2">
        <v>40847</v>
      </c>
      <c r="B155" s="3">
        <v>1909.03</v>
      </c>
      <c r="C155" s="3">
        <v>7.88</v>
      </c>
      <c r="D155" s="3">
        <v>1.39</v>
      </c>
      <c r="E155" s="4">
        <v>1059346743</v>
      </c>
      <c r="F155">
        <v>3.52</v>
      </c>
      <c r="G155">
        <v>1.47</v>
      </c>
      <c r="H155" s="9">
        <f t="shared" si="2"/>
        <v>9.35</v>
      </c>
      <c r="I155" s="9">
        <f t="shared" si="3"/>
        <v>1.4699999999999998</v>
      </c>
    </row>
    <row r="156" spans="1:9" x14ac:dyDescent="0.4">
      <c r="A156" s="5">
        <v>40877</v>
      </c>
      <c r="B156" s="6">
        <v>1847.51</v>
      </c>
      <c r="C156" s="6">
        <v>-4.25</v>
      </c>
      <c r="D156" s="6">
        <v>-3</v>
      </c>
      <c r="E156" s="7">
        <v>1026917615</v>
      </c>
      <c r="F156">
        <v>3.49</v>
      </c>
      <c r="G156">
        <v>1.52</v>
      </c>
      <c r="H156" s="9">
        <f t="shared" si="2"/>
        <v>-2.73</v>
      </c>
      <c r="I156" s="9">
        <f t="shared" si="3"/>
        <v>1.52</v>
      </c>
    </row>
    <row r="157" spans="1:9" x14ac:dyDescent="0.4">
      <c r="A157" s="2">
        <v>40908</v>
      </c>
      <c r="B157" s="3">
        <v>1825.74</v>
      </c>
      <c r="C157" s="3">
        <v>-1.66</v>
      </c>
      <c r="D157" s="3">
        <v>-10.66</v>
      </c>
      <c r="E157" s="4">
        <v>1017941886</v>
      </c>
      <c r="F157">
        <v>3.48</v>
      </c>
      <c r="G157">
        <v>1.54</v>
      </c>
      <c r="H157" s="9">
        <f t="shared" si="2"/>
        <v>-0.11999999999999988</v>
      </c>
      <c r="I157" s="9">
        <f t="shared" si="3"/>
        <v>1.54</v>
      </c>
    </row>
    <row r="158" spans="1:9" x14ac:dyDescent="0.4">
      <c r="A158" s="2">
        <v>40939</v>
      </c>
      <c r="B158" s="3">
        <v>1955.79</v>
      </c>
      <c r="C158" s="3">
        <v>7.12</v>
      </c>
      <c r="D158" s="3">
        <v>-5.51</v>
      </c>
      <c r="E158" s="4">
        <v>1090941024</v>
      </c>
      <c r="F158">
        <v>3.46</v>
      </c>
      <c r="G158">
        <v>1.44</v>
      </c>
      <c r="H158" s="9">
        <f t="shared" si="2"/>
        <v>8.56</v>
      </c>
      <c r="I158" s="9">
        <f t="shared" si="3"/>
        <v>1.4400000000000004</v>
      </c>
    </row>
    <row r="159" spans="1:9" x14ac:dyDescent="0.4">
      <c r="A159" s="2">
        <v>40968</v>
      </c>
      <c r="B159" s="3">
        <v>2030.25</v>
      </c>
      <c r="C159" s="3">
        <v>3.33</v>
      </c>
      <c r="D159" s="3">
        <v>4.6900000000000004</v>
      </c>
      <c r="E159" s="4">
        <v>1136197027</v>
      </c>
      <c r="F159">
        <v>3.46</v>
      </c>
      <c r="G159">
        <v>1.38</v>
      </c>
      <c r="H159" s="9">
        <f t="shared" si="2"/>
        <v>4.71</v>
      </c>
      <c r="I159" s="9">
        <f t="shared" si="3"/>
        <v>1.38</v>
      </c>
    </row>
    <row r="160" spans="1:9" x14ac:dyDescent="0.4">
      <c r="A160" s="2">
        <v>40999</v>
      </c>
      <c r="B160" s="3">
        <v>2014.04</v>
      </c>
      <c r="C160" s="3">
        <v>-0.8</v>
      </c>
      <c r="D160" s="3">
        <v>-3.7</v>
      </c>
      <c r="E160" s="4">
        <v>1127644089</v>
      </c>
      <c r="F160">
        <v>3.54</v>
      </c>
      <c r="G160">
        <v>1.39</v>
      </c>
      <c r="H160" s="9">
        <f t="shared" si="2"/>
        <v>0.58999999999999986</v>
      </c>
      <c r="I160" s="9">
        <f t="shared" si="3"/>
        <v>1.39</v>
      </c>
    </row>
    <row r="161" spans="1:9" x14ac:dyDescent="0.4">
      <c r="A161" s="5">
        <v>41029</v>
      </c>
      <c r="B161" s="6">
        <v>1981.99</v>
      </c>
      <c r="C161" s="6">
        <v>-1.59</v>
      </c>
      <c r="D161" s="6">
        <v>-9.6</v>
      </c>
      <c r="E161" s="7">
        <v>1111461227</v>
      </c>
      <c r="F161">
        <v>3.47</v>
      </c>
      <c r="G161">
        <v>1.36</v>
      </c>
      <c r="H161" s="9">
        <f t="shared" si="2"/>
        <v>-0.22999999999999998</v>
      </c>
      <c r="I161" s="9">
        <f t="shared" si="3"/>
        <v>1.36</v>
      </c>
    </row>
    <row r="162" spans="1:9" x14ac:dyDescent="0.4">
      <c r="A162" s="2">
        <v>41060</v>
      </c>
      <c r="B162" s="3">
        <v>1843.47</v>
      </c>
      <c r="C162" s="3">
        <v>-6.99</v>
      </c>
      <c r="D162" s="3">
        <v>-13.96</v>
      </c>
      <c r="E162" s="4">
        <v>1033799291</v>
      </c>
      <c r="F162">
        <v>3.39</v>
      </c>
      <c r="G162">
        <v>1.46</v>
      </c>
      <c r="H162" s="9">
        <f t="shared" si="2"/>
        <v>-5.53</v>
      </c>
      <c r="I162" s="9">
        <f t="shared" si="3"/>
        <v>1.46</v>
      </c>
    </row>
    <row r="163" spans="1:9" x14ac:dyDescent="0.4">
      <c r="A163" s="2">
        <v>41090</v>
      </c>
      <c r="B163" s="3">
        <v>1854.01</v>
      </c>
      <c r="C163" s="3">
        <v>0.22</v>
      </c>
      <c r="D163" s="3">
        <v>-11.48</v>
      </c>
      <c r="E163" s="4">
        <v>1039830424</v>
      </c>
      <c r="F163">
        <v>3.28</v>
      </c>
      <c r="G163">
        <v>1.45</v>
      </c>
      <c r="H163" s="9">
        <f t="shared" si="2"/>
        <v>1.67</v>
      </c>
      <c r="I163" s="9">
        <f t="shared" si="3"/>
        <v>1.45</v>
      </c>
    </row>
    <row r="164" spans="1:9" x14ac:dyDescent="0.4">
      <c r="A164" s="2">
        <v>41121</v>
      </c>
      <c r="B164" s="3">
        <v>1881.99</v>
      </c>
      <c r="C164" s="3">
        <v>1.51</v>
      </c>
      <c r="D164" s="3">
        <v>-11.78</v>
      </c>
      <c r="E164" s="4">
        <v>1056296961</v>
      </c>
      <c r="F164">
        <v>3.01</v>
      </c>
      <c r="G164">
        <v>1.42</v>
      </c>
      <c r="H164" s="9">
        <f t="shared" si="2"/>
        <v>2.9299999999999997</v>
      </c>
      <c r="I164" s="9">
        <f t="shared" si="3"/>
        <v>1.4199999999999997</v>
      </c>
    </row>
    <row r="165" spans="1:9" x14ac:dyDescent="0.4">
      <c r="A165" s="2">
        <v>41152</v>
      </c>
      <c r="B165" s="3">
        <v>1905.12</v>
      </c>
      <c r="C165" s="3">
        <v>1.23</v>
      </c>
      <c r="D165" s="3">
        <v>1.33</v>
      </c>
      <c r="E165" s="4">
        <v>1069401099</v>
      </c>
      <c r="F165">
        <v>2.84</v>
      </c>
      <c r="G165">
        <v>1.39</v>
      </c>
      <c r="H165" s="9">
        <f t="shared" si="2"/>
        <v>2.62</v>
      </c>
      <c r="I165" s="9">
        <f t="shared" si="3"/>
        <v>1.3900000000000001</v>
      </c>
    </row>
    <row r="166" spans="1:9" x14ac:dyDescent="0.4">
      <c r="A166" s="5">
        <v>41182</v>
      </c>
      <c r="B166" s="6">
        <v>1996.21</v>
      </c>
      <c r="C166" s="6">
        <v>4.17</v>
      </c>
      <c r="D166" s="6">
        <v>15.85</v>
      </c>
      <c r="E166" s="7">
        <v>1120037713</v>
      </c>
      <c r="F166">
        <v>2.84</v>
      </c>
      <c r="G166">
        <v>1.33</v>
      </c>
      <c r="H166" s="9">
        <f t="shared" si="2"/>
        <v>5.5</v>
      </c>
      <c r="I166" s="9">
        <f t="shared" si="3"/>
        <v>1.33</v>
      </c>
    </row>
    <row r="167" spans="1:9" x14ac:dyDescent="0.4">
      <c r="A167" s="2">
        <v>41213</v>
      </c>
      <c r="B167" s="3">
        <v>1912.06</v>
      </c>
      <c r="C167" s="3">
        <v>-4.22</v>
      </c>
      <c r="D167" s="3">
        <v>0.16</v>
      </c>
      <c r="E167" s="4">
        <v>1073351472</v>
      </c>
      <c r="F167">
        <v>2.8</v>
      </c>
      <c r="G167">
        <v>1.39</v>
      </c>
      <c r="H167" s="9">
        <f t="shared" si="2"/>
        <v>-2.83</v>
      </c>
      <c r="I167" s="9">
        <f t="shared" si="3"/>
        <v>1.3899999999999997</v>
      </c>
    </row>
    <row r="168" spans="1:9" x14ac:dyDescent="0.4">
      <c r="A168" s="2">
        <v>41243</v>
      </c>
      <c r="B168" s="3">
        <v>1932.9</v>
      </c>
      <c r="C168" s="3">
        <v>1.75</v>
      </c>
      <c r="D168" s="3">
        <v>4.62</v>
      </c>
      <c r="E168" s="4">
        <v>1086770031</v>
      </c>
      <c r="F168">
        <v>2.8</v>
      </c>
      <c r="G168">
        <v>1.37</v>
      </c>
      <c r="H168" s="9">
        <f t="shared" si="2"/>
        <v>3.12</v>
      </c>
      <c r="I168" s="9">
        <f t="shared" si="3"/>
        <v>1.37</v>
      </c>
    </row>
    <row r="169" spans="1:9" x14ac:dyDescent="0.4">
      <c r="A169" s="2">
        <v>41274</v>
      </c>
      <c r="B169" s="3">
        <v>1997.05</v>
      </c>
      <c r="C169" s="3">
        <v>4.41</v>
      </c>
      <c r="D169" s="3">
        <v>9.42</v>
      </c>
      <c r="E169" s="4">
        <v>1123162157</v>
      </c>
      <c r="F169">
        <v>2.81</v>
      </c>
      <c r="G169">
        <v>1.33</v>
      </c>
      <c r="H169" s="9">
        <f t="shared" si="2"/>
        <v>5.74</v>
      </c>
      <c r="I169" s="9">
        <f t="shared" si="3"/>
        <v>1.33</v>
      </c>
    </row>
    <row r="170" spans="1:9" x14ac:dyDescent="0.4">
      <c r="A170" s="2">
        <v>41305</v>
      </c>
      <c r="B170" s="3">
        <v>1961.94</v>
      </c>
      <c r="C170" s="3">
        <v>-1.76</v>
      </c>
      <c r="D170" s="3">
        <v>0.31</v>
      </c>
      <c r="E170" s="4">
        <v>1103590840</v>
      </c>
      <c r="F170">
        <v>2.72</v>
      </c>
      <c r="G170">
        <v>1.35</v>
      </c>
      <c r="H170" s="9">
        <f t="shared" si="2"/>
        <v>-0.40999999999999992</v>
      </c>
      <c r="I170" s="9">
        <f t="shared" si="3"/>
        <v>1.35</v>
      </c>
    </row>
    <row r="171" spans="1:9" x14ac:dyDescent="0.4">
      <c r="A171" s="5">
        <v>41333</v>
      </c>
      <c r="B171" s="6">
        <v>2026.49</v>
      </c>
      <c r="C171" s="6">
        <v>4.47</v>
      </c>
      <c r="D171" s="6">
        <v>1.1399999999999999</v>
      </c>
      <c r="E171" s="7">
        <v>1141041099</v>
      </c>
      <c r="F171">
        <v>2.69</v>
      </c>
      <c r="G171">
        <v>1.31</v>
      </c>
      <c r="H171" s="9">
        <f t="shared" si="2"/>
        <v>5.7799999999999994</v>
      </c>
      <c r="I171" s="9">
        <f t="shared" si="3"/>
        <v>1.3099999999999996</v>
      </c>
    </row>
    <row r="172" spans="1:9" x14ac:dyDescent="0.4">
      <c r="A172" s="2">
        <v>41364</v>
      </c>
      <c r="B172" s="3">
        <v>2004.89</v>
      </c>
      <c r="C172" s="3">
        <v>-1.07</v>
      </c>
      <c r="D172" s="3">
        <v>-0.47</v>
      </c>
      <c r="E172" s="4">
        <v>1128837604</v>
      </c>
      <c r="F172">
        <v>2.61</v>
      </c>
      <c r="G172">
        <v>1.32</v>
      </c>
      <c r="H172" s="9">
        <f t="shared" si="2"/>
        <v>0.25</v>
      </c>
      <c r="I172" s="9">
        <f t="shared" si="3"/>
        <v>1.32</v>
      </c>
    </row>
    <row r="173" spans="1:9" x14ac:dyDescent="0.4">
      <c r="A173" s="2">
        <v>41394</v>
      </c>
      <c r="B173" s="3">
        <v>1963.95</v>
      </c>
      <c r="C173" s="3">
        <v>-2.04</v>
      </c>
      <c r="D173" s="3">
        <v>-0.91</v>
      </c>
      <c r="E173" s="4">
        <v>1103852271</v>
      </c>
      <c r="F173">
        <v>2.58</v>
      </c>
      <c r="G173">
        <v>1.21</v>
      </c>
      <c r="H173" s="9">
        <f t="shared" si="2"/>
        <v>-0.83000000000000007</v>
      </c>
      <c r="I173" s="9">
        <f t="shared" si="3"/>
        <v>1.21</v>
      </c>
    </row>
    <row r="174" spans="1:9" x14ac:dyDescent="0.4">
      <c r="A174" s="2">
        <v>41425</v>
      </c>
      <c r="B174" s="3">
        <v>2001.05</v>
      </c>
      <c r="C174" s="3">
        <v>1.89</v>
      </c>
      <c r="D174" s="3">
        <v>8.5500000000000007</v>
      </c>
      <c r="E174" s="4">
        <v>1125863794</v>
      </c>
      <c r="F174">
        <v>2.58</v>
      </c>
      <c r="G174">
        <v>1.18</v>
      </c>
      <c r="H174" s="9">
        <f t="shared" si="2"/>
        <v>3.07</v>
      </c>
      <c r="I174" s="9">
        <f t="shared" si="3"/>
        <v>1.18</v>
      </c>
    </row>
    <row r="175" spans="1:9" x14ac:dyDescent="0.4">
      <c r="A175" s="2">
        <v>41455</v>
      </c>
      <c r="B175" s="3">
        <v>1863.32</v>
      </c>
      <c r="C175" s="3">
        <v>-6.19</v>
      </c>
      <c r="D175" s="3">
        <v>2.4300000000000002</v>
      </c>
      <c r="E175" s="4">
        <v>1048586219</v>
      </c>
      <c r="F175">
        <v>2.65</v>
      </c>
      <c r="G175">
        <v>1.27</v>
      </c>
      <c r="H175" s="9">
        <f t="shared" si="2"/>
        <v>-4.92</v>
      </c>
      <c r="I175" s="9">
        <f t="shared" si="3"/>
        <v>1.2700000000000005</v>
      </c>
    </row>
    <row r="176" spans="1:9" x14ac:dyDescent="0.4">
      <c r="A176" s="5">
        <v>41486</v>
      </c>
      <c r="B176" s="6">
        <v>1914.03</v>
      </c>
      <c r="C176" s="6">
        <v>2.72</v>
      </c>
      <c r="D176" s="6">
        <v>1.7</v>
      </c>
      <c r="E176" s="7">
        <v>1079544453</v>
      </c>
      <c r="F176">
        <v>2.66</v>
      </c>
      <c r="G176">
        <v>1.21</v>
      </c>
      <c r="H176" s="9">
        <f t="shared" si="2"/>
        <v>3.93</v>
      </c>
      <c r="I176" s="9">
        <f t="shared" si="3"/>
        <v>1.21</v>
      </c>
    </row>
    <row r="177" spans="1:9" x14ac:dyDescent="0.4">
      <c r="A177" s="2">
        <v>41517</v>
      </c>
      <c r="B177" s="3">
        <v>1926.36</v>
      </c>
      <c r="C177" s="3">
        <v>0.49</v>
      </c>
      <c r="D177" s="3">
        <v>1.05</v>
      </c>
      <c r="E177" s="4">
        <v>1090567370</v>
      </c>
      <c r="F177">
        <v>2.66</v>
      </c>
      <c r="G177">
        <v>1.2</v>
      </c>
      <c r="H177" s="9">
        <f t="shared" si="2"/>
        <v>1.69</v>
      </c>
      <c r="I177" s="9">
        <f t="shared" si="3"/>
        <v>1.2</v>
      </c>
    </row>
    <row r="178" spans="1:9" x14ac:dyDescent="0.4">
      <c r="A178" s="2">
        <v>41547</v>
      </c>
      <c r="B178" s="3">
        <v>1996.96</v>
      </c>
      <c r="C178" s="3">
        <v>3.66</v>
      </c>
      <c r="D178" s="3">
        <v>0.04</v>
      </c>
      <c r="E178" s="4">
        <v>1132104663</v>
      </c>
      <c r="F178">
        <v>2.68</v>
      </c>
      <c r="G178">
        <v>1.1599999999999999</v>
      </c>
      <c r="H178" s="9">
        <f t="shared" si="2"/>
        <v>4.82</v>
      </c>
      <c r="I178" s="9">
        <f t="shared" si="3"/>
        <v>1.1600000000000001</v>
      </c>
    </row>
    <row r="179" spans="1:9" x14ac:dyDescent="0.4">
      <c r="A179" s="2">
        <v>41578</v>
      </c>
      <c r="B179" s="3">
        <v>2030.09</v>
      </c>
      <c r="C179" s="3">
        <v>1.66</v>
      </c>
      <c r="D179" s="3">
        <v>6.17</v>
      </c>
      <c r="E179" s="4">
        <v>1154498854</v>
      </c>
      <c r="F179">
        <v>2.66</v>
      </c>
      <c r="G179">
        <v>1.1299999999999999</v>
      </c>
      <c r="H179" s="9">
        <f t="shared" si="2"/>
        <v>2.79</v>
      </c>
      <c r="I179" s="9">
        <f t="shared" si="3"/>
        <v>1.1300000000000001</v>
      </c>
    </row>
    <row r="180" spans="1:9" x14ac:dyDescent="0.4">
      <c r="A180" s="2">
        <v>41608</v>
      </c>
      <c r="B180" s="3">
        <v>2044.87</v>
      </c>
      <c r="C180" s="3">
        <v>-0.34</v>
      </c>
      <c r="D180" s="3">
        <v>5.69</v>
      </c>
      <c r="E180" s="4">
        <v>1163520777</v>
      </c>
      <c r="F180">
        <v>2.6970000000000001</v>
      </c>
      <c r="G180">
        <v>1.1299999999999999</v>
      </c>
      <c r="H180" s="9">
        <f t="shared" si="2"/>
        <v>0.78999999999999981</v>
      </c>
      <c r="I180" s="9">
        <f t="shared" si="3"/>
        <v>1.1299999999999999</v>
      </c>
    </row>
    <row r="181" spans="1:9" x14ac:dyDescent="0.4">
      <c r="A181" s="5">
        <v>41639</v>
      </c>
      <c r="B181" s="6">
        <v>2011.34</v>
      </c>
      <c r="C181" s="6">
        <v>-1.64</v>
      </c>
      <c r="D181" s="6">
        <v>0.72</v>
      </c>
      <c r="E181" s="7">
        <v>1145228740</v>
      </c>
      <c r="F181">
        <v>2.6989999999999998</v>
      </c>
      <c r="G181">
        <v>1.1399999999999999</v>
      </c>
      <c r="H181" s="9">
        <f t="shared" si="2"/>
        <v>-0.5</v>
      </c>
      <c r="I181" s="9">
        <f t="shared" si="3"/>
        <v>1.1399999999999999</v>
      </c>
    </row>
    <row r="182" spans="1:9" x14ac:dyDescent="0.4">
      <c r="A182" s="2">
        <v>41670</v>
      </c>
      <c r="B182" s="3">
        <v>1941.15</v>
      </c>
      <c r="C182" s="3">
        <v>-3.05</v>
      </c>
      <c r="D182" s="3">
        <v>-0.76</v>
      </c>
      <c r="E182" s="4">
        <v>1106793794</v>
      </c>
      <c r="F182">
        <v>2.6629999999999998</v>
      </c>
      <c r="G182">
        <v>1.19</v>
      </c>
      <c r="H182" s="9">
        <f t="shared" si="2"/>
        <v>-1.8599999999999999</v>
      </c>
      <c r="I182" s="9">
        <f t="shared" si="3"/>
        <v>1.19</v>
      </c>
    </row>
    <row r="183" spans="1:9" x14ac:dyDescent="0.4">
      <c r="A183" s="2">
        <v>41698</v>
      </c>
      <c r="B183" s="3">
        <v>1979.99</v>
      </c>
      <c r="C183" s="3">
        <v>3.29</v>
      </c>
      <c r="D183" s="3">
        <v>-2.29</v>
      </c>
      <c r="E183" s="4">
        <v>1130269980</v>
      </c>
      <c r="F183">
        <v>2.653</v>
      </c>
      <c r="G183">
        <v>1.1599999999999999</v>
      </c>
      <c r="H183" s="9">
        <f t="shared" si="2"/>
        <v>4.45</v>
      </c>
      <c r="I183" s="9">
        <f t="shared" si="3"/>
        <v>1.1600000000000001</v>
      </c>
    </row>
    <row r="184" spans="1:9" x14ac:dyDescent="0.4">
      <c r="A184" s="2">
        <v>41729</v>
      </c>
      <c r="B184" s="3">
        <v>1985.61</v>
      </c>
      <c r="C184" s="3">
        <v>0.28000000000000003</v>
      </c>
      <c r="D184" s="3">
        <v>-0.96</v>
      </c>
      <c r="E184" s="4">
        <v>1138936832</v>
      </c>
      <c r="F184">
        <v>2.6669999999999998</v>
      </c>
      <c r="G184">
        <v>1.1599999999999999</v>
      </c>
      <c r="H184" s="9">
        <f t="shared" si="2"/>
        <v>1.44</v>
      </c>
      <c r="I184" s="9">
        <f t="shared" si="3"/>
        <v>1.1599999999999999</v>
      </c>
    </row>
    <row r="185" spans="1:9" x14ac:dyDescent="0.4">
      <c r="A185" s="2">
        <v>41759</v>
      </c>
      <c r="B185" s="3">
        <v>1961.79</v>
      </c>
      <c r="C185" s="3">
        <v>-0.97</v>
      </c>
      <c r="D185" s="3">
        <v>-0.11</v>
      </c>
      <c r="E185" s="4">
        <v>1125778439</v>
      </c>
      <c r="F185">
        <v>2.6629999999999998</v>
      </c>
      <c r="G185">
        <v>1.1200000000000001</v>
      </c>
      <c r="H185" s="9">
        <f t="shared" si="2"/>
        <v>0.15000000000000013</v>
      </c>
      <c r="I185" s="9">
        <f t="shared" si="3"/>
        <v>1.1200000000000001</v>
      </c>
    </row>
    <row r="186" spans="1:9" x14ac:dyDescent="0.4">
      <c r="A186" s="5">
        <v>41790</v>
      </c>
      <c r="B186" s="6">
        <v>1994.96</v>
      </c>
      <c r="C186" s="6">
        <v>1.69</v>
      </c>
      <c r="D186" s="6">
        <v>-0.26</v>
      </c>
      <c r="E186" s="7">
        <v>1148445100</v>
      </c>
      <c r="F186">
        <v>2.6589999999999998</v>
      </c>
      <c r="G186">
        <v>1.1000000000000001</v>
      </c>
      <c r="H186" s="9">
        <f t="shared" si="2"/>
        <v>2.79</v>
      </c>
      <c r="I186" s="9">
        <f t="shared" si="3"/>
        <v>1.1000000000000001</v>
      </c>
    </row>
    <row r="187" spans="1:9" x14ac:dyDescent="0.4">
      <c r="A187" s="2">
        <v>41820</v>
      </c>
      <c r="B187" s="3">
        <v>2002.21</v>
      </c>
      <c r="C187" s="3">
        <v>0.36</v>
      </c>
      <c r="D187" s="3">
        <v>7.45</v>
      </c>
      <c r="E187" s="4">
        <v>1152535341</v>
      </c>
      <c r="F187">
        <v>2.6280000000000001</v>
      </c>
      <c r="G187">
        <v>1.0900000000000001</v>
      </c>
      <c r="H187" s="9">
        <f t="shared" si="2"/>
        <v>1.4500000000000002</v>
      </c>
      <c r="I187" s="9">
        <f t="shared" si="3"/>
        <v>1.0900000000000003</v>
      </c>
    </row>
    <row r="188" spans="1:9" x14ac:dyDescent="0.4">
      <c r="A188" s="2">
        <v>41851</v>
      </c>
      <c r="B188" s="3">
        <v>2076.12</v>
      </c>
      <c r="C188" s="3">
        <v>3.69</v>
      </c>
      <c r="D188" s="3">
        <v>8.4700000000000006</v>
      </c>
      <c r="E188" s="4">
        <v>1195291909</v>
      </c>
      <c r="F188">
        <v>2.4929999999999999</v>
      </c>
      <c r="G188">
        <v>1.05</v>
      </c>
      <c r="H188" s="9">
        <f t="shared" si="2"/>
        <v>4.74</v>
      </c>
      <c r="I188" s="9">
        <f t="shared" si="3"/>
        <v>1.0500000000000003</v>
      </c>
    </row>
    <row r="189" spans="1:9" x14ac:dyDescent="0.4">
      <c r="A189" s="2">
        <v>41882</v>
      </c>
      <c r="B189" s="3">
        <v>2068.54</v>
      </c>
      <c r="C189" s="3">
        <v>0.32</v>
      </c>
      <c r="D189" s="3">
        <v>8.44</v>
      </c>
      <c r="E189" s="4">
        <v>1193626919</v>
      </c>
      <c r="F189">
        <v>2.38</v>
      </c>
      <c r="G189">
        <v>1.05</v>
      </c>
      <c r="H189" s="9">
        <f t="shared" si="2"/>
        <v>1.37</v>
      </c>
      <c r="I189" s="9">
        <f t="shared" si="3"/>
        <v>1.05</v>
      </c>
    </row>
    <row r="190" spans="1:9" x14ac:dyDescent="0.4">
      <c r="A190" s="2">
        <v>41912</v>
      </c>
      <c r="B190" s="3">
        <v>2020.09</v>
      </c>
      <c r="C190" s="3">
        <v>-2.34</v>
      </c>
      <c r="D190" s="3">
        <v>1.1599999999999999</v>
      </c>
      <c r="E190" s="4">
        <v>1165871964</v>
      </c>
      <c r="F190">
        <v>2.2799999999999998</v>
      </c>
      <c r="G190">
        <v>1.08</v>
      </c>
      <c r="H190" s="9">
        <f t="shared" ref="H190:H253" si="4">C190+G190</f>
        <v>-1.2599999999999998</v>
      </c>
      <c r="I190" s="9">
        <f t="shared" si="3"/>
        <v>1.08</v>
      </c>
    </row>
    <row r="191" spans="1:9" x14ac:dyDescent="0.4">
      <c r="A191" s="5">
        <v>41943</v>
      </c>
      <c r="B191" s="6">
        <v>1964.43</v>
      </c>
      <c r="C191" s="6">
        <v>-2.76</v>
      </c>
      <c r="D191" s="6">
        <v>-3.23</v>
      </c>
      <c r="E191" s="7">
        <v>1134114554</v>
      </c>
      <c r="F191">
        <v>2.1349999999999998</v>
      </c>
      <c r="G191">
        <v>1.1299999999999999</v>
      </c>
      <c r="H191" s="9">
        <f t="shared" si="4"/>
        <v>-1.63</v>
      </c>
      <c r="I191" s="9">
        <f t="shared" ref="I191:I254" si="5">H191-C191</f>
        <v>1.1299999999999999</v>
      </c>
    </row>
    <row r="192" spans="1:9" x14ac:dyDescent="0.4">
      <c r="A192" s="2">
        <v>41973</v>
      </c>
      <c r="B192" s="3">
        <v>1980.78</v>
      </c>
      <c r="C192" s="3">
        <v>2.86</v>
      </c>
      <c r="D192" s="3">
        <v>-3.18</v>
      </c>
      <c r="E192" s="4">
        <v>1172705317</v>
      </c>
      <c r="F192">
        <v>2.0470000000000002</v>
      </c>
      <c r="G192">
        <v>1.1100000000000001</v>
      </c>
      <c r="H192" s="9">
        <f t="shared" si="4"/>
        <v>3.9699999999999998</v>
      </c>
      <c r="I192" s="9">
        <f t="shared" si="5"/>
        <v>1.1099999999999999</v>
      </c>
    </row>
    <row r="193" spans="1:9" x14ac:dyDescent="0.4">
      <c r="A193" s="2">
        <v>42004</v>
      </c>
      <c r="B193" s="3">
        <v>1915.59</v>
      </c>
      <c r="C193" s="3">
        <v>-3.29</v>
      </c>
      <c r="D193" s="3">
        <v>-4.76</v>
      </c>
      <c r="E193" s="4">
        <v>1150015641</v>
      </c>
      <c r="F193">
        <v>2.0870000000000002</v>
      </c>
      <c r="G193">
        <v>1.1299999999999999</v>
      </c>
      <c r="H193" s="9">
        <f t="shared" si="4"/>
        <v>-2.16</v>
      </c>
      <c r="I193" s="9">
        <f t="shared" si="5"/>
        <v>1.1299999999999999</v>
      </c>
    </row>
    <row r="194" spans="1:9" x14ac:dyDescent="0.4">
      <c r="A194" s="2">
        <v>42035</v>
      </c>
      <c r="B194" s="3">
        <v>1949.26</v>
      </c>
      <c r="C194" s="3">
        <v>1.76</v>
      </c>
      <c r="D194" s="3">
        <v>0.42</v>
      </c>
      <c r="E194" s="4">
        <v>1171741376</v>
      </c>
      <c r="F194">
        <v>2.0009999999999999</v>
      </c>
      <c r="G194">
        <v>1.1100000000000001</v>
      </c>
      <c r="H194" s="9">
        <f t="shared" si="4"/>
        <v>2.87</v>
      </c>
      <c r="I194" s="9">
        <f t="shared" si="5"/>
        <v>1.1100000000000001</v>
      </c>
    </row>
    <row r="195" spans="1:9" x14ac:dyDescent="0.4">
      <c r="A195" s="2">
        <v>42063</v>
      </c>
      <c r="B195" s="3">
        <v>1985.8</v>
      </c>
      <c r="C195" s="3">
        <v>1.71</v>
      </c>
      <c r="D195" s="3">
        <v>0.37</v>
      </c>
      <c r="E195" s="4">
        <v>1194605362</v>
      </c>
      <c r="F195">
        <v>1.984</v>
      </c>
      <c r="G195">
        <v>1.0900000000000001</v>
      </c>
      <c r="H195" s="9">
        <f t="shared" si="4"/>
        <v>2.8</v>
      </c>
      <c r="I195" s="9">
        <f t="shared" si="5"/>
        <v>1.0899999999999999</v>
      </c>
    </row>
    <row r="196" spans="1:9" x14ac:dyDescent="0.4">
      <c r="A196" s="5">
        <v>42094</v>
      </c>
      <c r="B196" s="6">
        <v>2041.03</v>
      </c>
      <c r="C196" s="6">
        <v>2.78</v>
      </c>
      <c r="D196" s="6">
        <v>2.79</v>
      </c>
      <c r="E196" s="7">
        <v>1229766197</v>
      </c>
      <c r="F196">
        <v>1.8360000000000001</v>
      </c>
      <c r="G196">
        <v>1.06</v>
      </c>
      <c r="H196" s="9">
        <f t="shared" si="4"/>
        <v>3.84</v>
      </c>
      <c r="I196" s="9">
        <f t="shared" si="5"/>
        <v>1.06</v>
      </c>
    </row>
    <row r="197" spans="1:9" x14ac:dyDescent="0.4">
      <c r="A197" s="2">
        <v>42124</v>
      </c>
      <c r="B197" s="3">
        <v>2127.17</v>
      </c>
      <c r="C197" s="3">
        <v>4.78</v>
      </c>
      <c r="D197" s="3">
        <v>8.43</v>
      </c>
      <c r="E197" s="4">
        <v>1282325308</v>
      </c>
      <c r="F197">
        <v>1.704</v>
      </c>
      <c r="G197">
        <v>1.02</v>
      </c>
      <c r="H197" s="9">
        <f t="shared" si="4"/>
        <v>5.8000000000000007</v>
      </c>
      <c r="I197" s="9">
        <f t="shared" si="5"/>
        <v>1.0200000000000005</v>
      </c>
    </row>
    <row r="198" spans="1:9" x14ac:dyDescent="0.4">
      <c r="A198" s="2">
        <v>42155</v>
      </c>
      <c r="B198" s="3">
        <v>2114.8000000000002</v>
      </c>
      <c r="C198" s="3">
        <v>-1.3</v>
      </c>
      <c r="D198" s="3">
        <v>5.0999999999999996</v>
      </c>
      <c r="E198" s="4">
        <v>1273735897</v>
      </c>
      <c r="F198">
        <v>1.7430000000000001</v>
      </c>
      <c r="G198">
        <v>1.25</v>
      </c>
      <c r="H198" s="9">
        <f t="shared" si="4"/>
        <v>-5.0000000000000044E-2</v>
      </c>
      <c r="I198" s="9">
        <f t="shared" si="5"/>
        <v>1.25</v>
      </c>
    </row>
    <row r="199" spans="1:9" x14ac:dyDescent="0.4">
      <c r="A199" s="2">
        <v>42185</v>
      </c>
      <c r="B199" s="3">
        <v>2074.1999999999998</v>
      </c>
      <c r="C199" s="3">
        <v>-1.92</v>
      </c>
      <c r="D199" s="3">
        <v>3.6</v>
      </c>
      <c r="E199" s="4">
        <v>1251177147</v>
      </c>
      <c r="F199">
        <v>1.6279999999999999</v>
      </c>
      <c r="G199">
        <v>1.28</v>
      </c>
      <c r="H199" s="9">
        <f t="shared" si="4"/>
        <v>-0.6399999999999999</v>
      </c>
      <c r="I199" s="9">
        <f t="shared" si="5"/>
        <v>1.28</v>
      </c>
    </row>
    <row r="200" spans="1:9" x14ac:dyDescent="0.4">
      <c r="A200" s="2">
        <v>42216</v>
      </c>
      <c r="B200" s="3">
        <v>2030.16</v>
      </c>
      <c r="C200" s="3">
        <v>-2.12</v>
      </c>
      <c r="D200" s="3">
        <v>-2.21</v>
      </c>
      <c r="E200" s="4">
        <v>1229655462</v>
      </c>
      <c r="F200">
        <v>1.597</v>
      </c>
      <c r="G200">
        <v>1.3</v>
      </c>
      <c r="H200" s="9">
        <f t="shared" si="4"/>
        <v>-0.82000000000000006</v>
      </c>
      <c r="I200" s="9">
        <f t="shared" si="5"/>
        <v>1.3</v>
      </c>
    </row>
    <row r="201" spans="1:9" x14ac:dyDescent="0.4">
      <c r="A201" s="5">
        <v>42247</v>
      </c>
      <c r="B201" s="6">
        <v>1941.49</v>
      </c>
      <c r="C201" s="6">
        <v>-4.37</v>
      </c>
      <c r="D201" s="6">
        <v>-6.14</v>
      </c>
      <c r="E201" s="7">
        <v>1175119585</v>
      </c>
      <c r="F201">
        <v>1.5840000000000001</v>
      </c>
      <c r="G201">
        <v>1.36</v>
      </c>
      <c r="H201" s="9">
        <f t="shared" si="4"/>
        <v>-3.01</v>
      </c>
      <c r="I201" s="9">
        <f t="shared" si="5"/>
        <v>1.3600000000000003</v>
      </c>
    </row>
    <row r="202" spans="1:9" x14ac:dyDescent="0.4">
      <c r="A202" s="2">
        <v>42277</v>
      </c>
      <c r="B202" s="3">
        <v>1962.81</v>
      </c>
      <c r="C202" s="3">
        <v>1.3</v>
      </c>
      <c r="D202" s="3">
        <v>-2.84</v>
      </c>
      <c r="E202" s="4">
        <v>1191903304</v>
      </c>
      <c r="F202">
        <v>1.5549999999999999</v>
      </c>
      <c r="G202">
        <v>1.33</v>
      </c>
      <c r="H202" s="9">
        <f t="shared" si="4"/>
        <v>2.63</v>
      </c>
      <c r="I202" s="9">
        <f t="shared" si="5"/>
        <v>1.3299999999999998</v>
      </c>
    </row>
    <row r="203" spans="1:9" x14ac:dyDescent="0.4">
      <c r="A203" s="2">
        <v>42308</v>
      </c>
      <c r="B203" s="3">
        <v>2029.47</v>
      </c>
      <c r="C203" s="3">
        <v>3.4</v>
      </c>
      <c r="D203" s="3">
        <v>3.6</v>
      </c>
      <c r="E203" s="4">
        <v>1239205392</v>
      </c>
      <c r="F203">
        <v>1.5489999999999999</v>
      </c>
      <c r="G203">
        <v>1.28</v>
      </c>
      <c r="H203" s="9">
        <f t="shared" si="4"/>
        <v>4.68</v>
      </c>
      <c r="I203" s="9">
        <f t="shared" si="5"/>
        <v>1.2799999999999998</v>
      </c>
    </row>
    <row r="204" spans="1:9" x14ac:dyDescent="0.4">
      <c r="A204" s="2">
        <v>42338</v>
      </c>
      <c r="B204" s="3">
        <v>1991.97</v>
      </c>
      <c r="C204" s="3">
        <v>-1.85</v>
      </c>
      <c r="D204" s="3">
        <v>0.56000000000000005</v>
      </c>
      <c r="E204" s="4">
        <v>1218004375</v>
      </c>
      <c r="F204">
        <v>1.637</v>
      </c>
      <c r="G204">
        <v>1.31</v>
      </c>
      <c r="H204" s="9">
        <f t="shared" si="4"/>
        <v>-0.54</v>
      </c>
      <c r="I204" s="9">
        <f t="shared" si="5"/>
        <v>1.31</v>
      </c>
    </row>
    <row r="205" spans="1:9" x14ac:dyDescent="0.4">
      <c r="A205" s="2">
        <v>42369</v>
      </c>
      <c r="B205" s="3">
        <v>1961.31</v>
      </c>
      <c r="C205" s="3">
        <v>-1.54</v>
      </c>
      <c r="D205" s="3">
        <v>2.39</v>
      </c>
      <c r="E205" s="4">
        <v>1201330539</v>
      </c>
      <c r="F205">
        <v>1.643</v>
      </c>
      <c r="G205">
        <v>1.33</v>
      </c>
      <c r="H205" s="9">
        <f t="shared" si="4"/>
        <v>-0.20999999999999996</v>
      </c>
      <c r="I205" s="9">
        <f t="shared" si="5"/>
        <v>1.33</v>
      </c>
    </row>
    <row r="206" spans="1:9" x14ac:dyDescent="0.4">
      <c r="A206" s="5">
        <v>42400</v>
      </c>
      <c r="B206" s="6">
        <v>1912.06</v>
      </c>
      <c r="C206" s="6">
        <v>-2.76</v>
      </c>
      <c r="D206" s="6">
        <v>-2</v>
      </c>
      <c r="E206" s="7">
        <v>1169350167</v>
      </c>
      <c r="F206">
        <v>1.5880000000000001</v>
      </c>
      <c r="G206">
        <v>1.36</v>
      </c>
      <c r="H206" s="9">
        <f t="shared" si="4"/>
        <v>-1.3999999999999997</v>
      </c>
      <c r="I206" s="9">
        <f t="shared" si="5"/>
        <v>1.36</v>
      </c>
    </row>
    <row r="207" spans="1:9" x14ac:dyDescent="0.4">
      <c r="A207" s="2">
        <v>42429</v>
      </c>
      <c r="B207" s="3">
        <v>1916.66</v>
      </c>
      <c r="C207" s="3">
        <v>0.24</v>
      </c>
      <c r="D207" s="3">
        <v>-3.48</v>
      </c>
      <c r="E207" s="4">
        <v>1172906425</v>
      </c>
      <c r="F207">
        <v>1.47</v>
      </c>
      <c r="G207">
        <v>1.36</v>
      </c>
      <c r="H207" s="9">
        <f t="shared" si="4"/>
        <v>1.6</v>
      </c>
      <c r="I207" s="9">
        <f t="shared" si="5"/>
        <v>1.36</v>
      </c>
    </row>
    <row r="208" spans="1:9" x14ac:dyDescent="0.4">
      <c r="A208" s="2">
        <v>42460</v>
      </c>
      <c r="B208" s="3">
        <v>1995.85</v>
      </c>
      <c r="C208" s="3">
        <v>4.13</v>
      </c>
      <c r="D208" s="3">
        <v>-2.21</v>
      </c>
      <c r="E208" s="4">
        <v>1221928196</v>
      </c>
      <c r="F208">
        <v>1.5049999999999999</v>
      </c>
      <c r="G208">
        <v>1.3</v>
      </c>
      <c r="H208" s="9">
        <f t="shared" si="4"/>
        <v>5.43</v>
      </c>
      <c r="I208" s="9">
        <f t="shared" si="5"/>
        <v>1.2999999999999998</v>
      </c>
    </row>
    <row r="209" spans="1:9" x14ac:dyDescent="0.4">
      <c r="A209" s="2">
        <v>42490</v>
      </c>
      <c r="B209" s="3">
        <v>1994.15</v>
      </c>
      <c r="C209" s="3">
        <v>-0.04</v>
      </c>
      <c r="D209" s="3">
        <v>-6.93</v>
      </c>
      <c r="E209" s="4">
        <v>1221393613</v>
      </c>
      <c r="F209">
        <v>1.494</v>
      </c>
      <c r="G209">
        <v>1.28</v>
      </c>
      <c r="H209" s="9">
        <f t="shared" si="4"/>
        <v>1.24</v>
      </c>
      <c r="I209" s="9">
        <f t="shared" si="5"/>
        <v>1.28</v>
      </c>
    </row>
    <row r="210" spans="1:9" x14ac:dyDescent="0.4">
      <c r="A210" s="2">
        <v>42521</v>
      </c>
      <c r="B210" s="3">
        <v>1983.4</v>
      </c>
      <c r="C210" s="3">
        <v>-0.54</v>
      </c>
      <c r="D210" s="3">
        <v>-6.21</v>
      </c>
      <c r="E210" s="4">
        <v>1214192405</v>
      </c>
      <c r="F210">
        <v>1.4810000000000001</v>
      </c>
      <c r="G210">
        <v>1.68</v>
      </c>
      <c r="H210" s="9">
        <f t="shared" si="4"/>
        <v>1.1399999999999999</v>
      </c>
      <c r="I210" s="9">
        <f t="shared" si="5"/>
        <v>1.68</v>
      </c>
    </row>
    <row r="211" spans="1:9" x14ac:dyDescent="0.4">
      <c r="A211" s="5">
        <v>42551</v>
      </c>
      <c r="B211" s="6">
        <v>1970.35</v>
      </c>
      <c r="C211" s="6">
        <v>0.16</v>
      </c>
      <c r="D211" s="6">
        <v>-5.01</v>
      </c>
      <c r="E211" s="7">
        <v>1206974173</v>
      </c>
      <c r="F211">
        <v>1.36</v>
      </c>
      <c r="G211">
        <v>1.69</v>
      </c>
      <c r="H211" s="9">
        <f t="shared" si="4"/>
        <v>1.8499999999999999</v>
      </c>
      <c r="I211" s="9">
        <f t="shared" si="5"/>
        <v>1.69</v>
      </c>
    </row>
    <row r="212" spans="1:9" x14ac:dyDescent="0.4">
      <c r="A212" s="2">
        <v>42582</v>
      </c>
      <c r="B212" s="3">
        <v>2016.19</v>
      </c>
      <c r="C212" s="3">
        <v>3.06</v>
      </c>
      <c r="D212" s="3">
        <v>-1.05</v>
      </c>
      <c r="E212" s="4">
        <v>1238968927</v>
      </c>
      <c r="F212">
        <v>1.2589999999999999</v>
      </c>
      <c r="G212">
        <v>1.65</v>
      </c>
      <c r="H212" s="9">
        <f t="shared" si="4"/>
        <v>4.71</v>
      </c>
      <c r="I212" s="9">
        <f t="shared" si="5"/>
        <v>1.65</v>
      </c>
    </row>
    <row r="213" spans="1:9" x14ac:dyDescent="0.4">
      <c r="A213" s="2">
        <v>42613</v>
      </c>
      <c r="B213" s="3">
        <v>2034.65</v>
      </c>
      <c r="C213" s="3">
        <v>0.92</v>
      </c>
      <c r="D213" s="3">
        <v>4.8</v>
      </c>
      <c r="E213" s="4">
        <v>1251521492</v>
      </c>
      <c r="F213">
        <v>1.266</v>
      </c>
      <c r="G213">
        <v>1.64</v>
      </c>
      <c r="H213" s="9">
        <f t="shared" si="4"/>
        <v>2.56</v>
      </c>
      <c r="I213" s="9">
        <f t="shared" si="5"/>
        <v>1.6400000000000001</v>
      </c>
    </row>
    <row r="214" spans="1:9" x14ac:dyDescent="0.4">
      <c r="A214" s="2">
        <v>42643</v>
      </c>
      <c r="B214" s="3">
        <v>2043.63</v>
      </c>
      <c r="C214" s="3">
        <v>0.19</v>
      </c>
      <c r="D214" s="3">
        <v>4.12</v>
      </c>
      <c r="E214" s="4">
        <v>1258681658</v>
      </c>
      <c r="F214">
        <v>1.3280000000000001</v>
      </c>
      <c r="G214">
        <v>1.63</v>
      </c>
      <c r="H214" s="9">
        <f t="shared" si="4"/>
        <v>1.8199999999999998</v>
      </c>
      <c r="I214" s="9">
        <f t="shared" si="5"/>
        <v>1.63</v>
      </c>
    </row>
    <row r="215" spans="1:9" x14ac:dyDescent="0.4">
      <c r="A215" s="2">
        <v>42674</v>
      </c>
      <c r="B215" s="3">
        <v>2008.19</v>
      </c>
      <c r="C215" s="3">
        <v>-1.73</v>
      </c>
      <c r="D215" s="3">
        <v>-1.05</v>
      </c>
      <c r="E215" s="4">
        <v>1236220062</v>
      </c>
      <c r="F215">
        <v>1.379</v>
      </c>
      <c r="G215">
        <v>1.56</v>
      </c>
      <c r="H215" s="9">
        <f t="shared" si="4"/>
        <v>-0.16999999999999993</v>
      </c>
      <c r="I215" s="9">
        <f t="shared" si="5"/>
        <v>1.56</v>
      </c>
    </row>
    <row r="216" spans="1:9" x14ac:dyDescent="0.4">
      <c r="A216" s="5">
        <v>42704</v>
      </c>
      <c r="B216" s="6">
        <v>1983.48</v>
      </c>
      <c r="C216" s="6">
        <v>-1.78</v>
      </c>
      <c r="D216" s="6">
        <v>-0.43</v>
      </c>
      <c r="E216" s="7">
        <v>1233975025</v>
      </c>
      <c r="F216">
        <v>1.5169999999999999</v>
      </c>
      <c r="G216">
        <v>1.56</v>
      </c>
      <c r="H216" s="9">
        <f t="shared" si="4"/>
        <v>-0.21999999999999997</v>
      </c>
      <c r="I216" s="9">
        <f t="shared" si="5"/>
        <v>1.56</v>
      </c>
    </row>
    <row r="217" spans="1:9" x14ac:dyDescent="0.4">
      <c r="A217" s="2">
        <v>42735</v>
      </c>
      <c r="B217" s="3">
        <v>2026.46</v>
      </c>
      <c r="C217" s="3">
        <v>2.4300000000000002</v>
      </c>
      <c r="D217" s="3">
        <v>3.06</v>
      </c>
      <c r="E217" s="4">
        <v>1261425753</v>
      </c>
      <c r="F217">
        <v>1.573</v>
      </c>
      <c r="G217">
        <v>1.52</v>
      </c>
      <c r="H217" s="9">
        <f t="shared" si="4"/>
        <v>3.95</v>
      </c>
      <c r="I217" s="9">
        <f t="shared" si="5"/>
        <v>1.52</v>
      </c>
    </row>
    <row r="218" spans="1:9" x14ac:dyDescent="0.4">
      <c r="A218" s="2">
        <v>42766</v>
      </c>
      <c r="B218" s="3">
        <v>2067.5700000000002</v>
      </c>
      <c r="C218" s="3">
        <v>2.0299999999999998</v>
      </c>
      <c r="D218" s="3">
        <v>8.1300000000000008</v>
      </c>
      <c r="E218" s="4">
        <v>1289876724</v>
      </c>
      <c r="F218">
        <v>1.5</v>
      </c>
      <c r="G218">
        <v>1.49</v>
      </c>
      <c r="H218" s="9">
        <f t="shared" si="4"/>
        <v>3.5199999999999996</v>
      </c>
      <c r="I218" s="9">
        <f t="shared" si="5"/>
        <v>1.4899999999999998</v>
      </c>
    </row>
    <row r="219" spans="1:9" x14ac:dyDescent="0.4">
      <c r="A219" s="2">
        <v>42794</v>
      </c>
      <c r="B219" s="3">
        <v>2091.64</v>
      </c>
      <c r="C219" s="3">
        <v>0.39</v>
      </c>
      <c r="D219" s="3">
        <v>8.93</v>
      </c>
      <c r="E219" s="4">
        <v>1305155910</v>
      </c>
      <c r="F219">
        <v>1.4650000000000001</v>
      </c>
      <c r="G219">
        <v>1.48</v>
      </c>
      <c r="H219" s="9">
        <f t="shared" si="4"/>
        <v>1.87</v>
      </c>
      <c r="I219" s="9">
        <f t="shared" si="5"/>
        <v>1.48</v>
      </c>
    </row>
    <row r="220" spans="1:9" x14ac:dyDescent="0.4">
      <c r="A220" s="2">
        <v>42825</v>
      </c>
      <c r="B220" s="3">
        <v>2160.23</v>
      </c>
      <c r="C220" s="3">
        <v>3.28</v>
      </c>
      <c r="D220" s="3">
        <v>8.24</v>
      </c>
      <c r="E220" s="4">
        <v>1350077831</v>
      </c>
      <c r="F220">
        <v>1.4890000000000001</v>
      </c>
      <c r="G220">
        <v>1.43</v>
      </c>
      <c r="H220" s="9">
        <f t="shared" si="4"/>
        <v>4.71</v>
      </c>
      <c r="I220" s="9">
        <f t="shared" si="5"/>
        <v>1.4300000000000002</v>
      </c>
    </row>
    <row r="221" spans="1:9" x14ac:dyDescent="0.4">
      <c r="A221" s="5">
        <v>42855</v>
      </c>
      <c r="B221" s="6">
        <v>2205.44</v>
      </c>
      <c r="C221" s="6">
        <v>1.95</v>
      </c>
      <c r="D221" s="6">
        <v>10.220000000000001</v>
      </c>
      <c r="E221" s="7">
        <v>1377141502</v>
      </c>
      <c r="F221">
        <v>1.472</v>
      </c>
      <c r="G221">
        <v>1.4</v>
      </c>
      <c r="H221" s="9">
        <f t="shared" si="4"/>
        <v>3.3499999999999996</v>
      </c>
      <c r="I221" s="9">
        <f t="shared" si="5"/>
        <v>1.3999999999999997</v>
      </c>
    </row>
    <row r="222" spans="1:9" x14ac:dyDescent="0.4">
      <c r="A222" s="2">
        <v>42886</v>
      </c>
      <c r="B222" s="3">
        <v>2347.38</v>
      </c>
      <c r="C222" s="3">
        <v>6.44</v>
      </c>
      <c r="D222" s="3">
        <v>18.350000000000001</v>
      </c>
      <c r="E222" s="4">
        <v>1466286786</v>
      </c>
      <c r="F222">
        <v>1.4610000000000001</v>
      </c>
      <c r="G222">
        <v>1.44</v>
      </c>
      <c r="H222" s="9">
        <f t="shared" si="4"/>
        <v>7.8800000000000008</v>
      </c>
      <c r="I222" s="9">
        <f t="shared" si="5"/>
        <v>1.4400000000000004</v>
      </c>
    </row>
    <row r="223" spans="1:9" x14ac:dyDescent="0.4">
      <c r="A223" s="2">
        <v>42916</v>
      </c>
      <c r="B223" s="3">
        <v>2391.79</v>
      </c>
      <c r="C223" s="3">
        <v>2.0499999999999998</v>
      </c>
      <c r="D223" s="3">
        <v>21.39</v>
      </c>
      <c r="E223" s="4">
        <v>1493957232</v>
      </c>
      <c r="F223">
        <v>1.462</v>
      </c>
      <c r="G223">
        <v>1.42</v>
      </c>
      <c r="H223" s="9">
        <f t="shared" si="4"/>
        <v>3.4699999999999998</v>
      </c>
      <c r="I223" s="9">
        <f t="shared" si="5"/>
        <v>1.42</v>
      </c>
    </row>
    <row r="224" spans="1:9" x14ac:dyDescent="0.4">
      <c r="A224" s="2">
        <v>42947</v>
      </c>
      <c r="B224" s="3">
        <v>2402.71</v>
      </c>
      <c r="C224" s="3">
        <v>0.46</v>
      </c>
      <c r="D224" s="3">
        <v>19.170000000000002</v>
      </c>
      <c r="E224" s="4">
        <v>1505101498</v>
      </c>
      <c r="F224">
        <v>1.4550000000000001</v>
      </c>
      <c r="G224">
        <v>1.41</v>
      </c>
      <c r="H224" s="9">
        <f t="shared" si="4"/>
        <v>1.8699999999999999</v>
      </c>
      <c r="I224" s="9">
        <f t="shared" si="5"/>
        <v>1.41</v>
      </c>
    </row>
    <row r="225" spans="1:9" x14ac:dyDescent="0.4">
      <c r="A225" s="2">
        <v>42978</v>
      </c>
      <c r="B225" s="3">
        <v>2363.19</v>
      </c>
      <c r="C225" s="3">
        <v>-1.64</v>
      </c>
      <c r="D225" s="3">
        <v>16.149999999999999</v>
      </c>
      <c r="E225" s="4">
        <v>1481403093</v>
      </c>
      <c r="F225">
        <v>1.4710000000000001</v>
      </c>
      <c r="G225">
        <v>1.43</v>
      </c>
      <c r="H225" s="9">
        <f t="shared" si="4"/>
        <v>-0.20999999999999996</v>
      </c>
      <c r="I225" s="9">
        <f t="shared" si="5"/>
        <v>1.43</v>
      </c>
    </row>
    <row r="226" spans="1:9" x14ac:dyDescent="0.4">
      <c r="A226" s="5">
        <v>43008</v>
      </c>
      <c r="B226" s="6">
        <v>2394.4699999999998</v>
      </c>
      <c r="C226" s="6">
        <v>1.26</v>
      </c>
      <c r="D226" s="6">
        <v>15.75</v>
      </c>
      <c r="E226" s="7">
        <v>1502396198</v>
      </c>
      <c r="F226">
        <v>1.488</v>
      </c>
      <c r="G226">
        <v>1.4</v>
      </c>
      <c r="H226" s="9">
        <f t="shared" si="4"/>
        <v>2.66</v>
      </c>
      <c r="I226" s="9">
        <f t="shared" si="5"/>
        <v>1.4000000000000001</v>
      </c>
    </row>
    <row r="227" spans="1:9" x14ac:dyDescent="0.4">
      <c r="A227" s="2">
        <v>43039</v>
      </c>
      <c r="B227" s="3">
        <v>2523.4299999999998</v>
      </c>
      <c r="C227" s="3">
        <v>5.39</v>
      </c>
      <c r="D227" s="3">
        <v>25.66</v>
      </c>
      <c r="E227" s="4">
        <v>1581882498</v>
      </c>
      <c r="F227">
        <v>1.649</v>
      </c>
      <c r="G227">
        <v>1.33</v>
      </c>
      <c r="H227" s="9">
        <f t="shared" si="4"/>
        <v>6.72</v>
      </c>
      <c r="I227" s="9">
        <f t="shared" si="5"/>
        <v>1.33</v>
      </c>
    </row>
    <row r="228" spans="1:9" x14ac:dyDescent="0.4">
      <c r="A228" s="2">
        <v>43069</v>
      </c>
      <c r="B228" s="3">
        <v>2476.37</v>
      </c>
      <c r="C228" s="3">
        <v>-1.02</v>
      </c>
      <c r="D228" s="3">
        <v>24.85</v>
      </c>
      <c r="E228" s="4">
        <v>1551609413</v>
      </c>
      <c r="F228">
        <v>1.7849999999999999</v>
      </c>
      <c r="G228">
        <v>1.35</v>
      </c>
      <c r="H228" s="9">
        <f t="shared" si="4"/>
        <v>0.33000000000000007</v>
      </c>
      <c r="I228" s="9">
        <f t="shared" si="5"/>
        <v>1.35</v>
      </c>
    </row>
    <row r="229" spans="1:9" x14ac:dyDescent="0.4">
      <c r="A229" s="2">
        <v>43100</v>
      </c>
      <c r="B229" s="3">
        <v>2467.4899999999998</v>
      </c>
      <c r="C229" s="3">
        <v>-1.86</v>
      </c>
      <c r="D229" s="3">
        <v>21.88</v>
      </c>
      <c r="E229" s="4">
        <v>1549190374</v>
      </c>
      <c r="F229">
        <v>1.833</v>
      </c>
      <c r="G229">
        <v>1.36</v>
      </c>
      <c r="H229" s="9">
        <f t="shared" si="4"/>
        <v>-0.5</v>
      </c>
      <c r="I229" s="9">
        <f t="shared" si="5"/>
        <v>1.36</v>
      </c>
    </row>
    <row r="230" spans="1:9" x14ac:dyDescent="0.4">
      <c r="A230" s="2">
        <v>43131</v>
      </c>
      <c r="B230" s="3">
        <v>2566.46</v>
      </c>
      <c r="C230" s="3">
        <v>4.01</v>
      </c>
      <c r="D230" s="3">
        <v>24.13</v>
      </c>
      <c r="E230" s="4">
        <v>1612671308</v>
      </c>
      <c r="F230">
        <v>1.8380000000000001</v>
      </c>
      <c r="G230">
        <v>1.31</v>
      </c>
      <c r="H230" s="9">
        <f t="shared" si="4"/>
        <v>5.32</v>
      </c>
      <c r="I230" s="9">
        <f t="shared" si="5"/>
        <v>1.3100000000000005</v>
      </c>
    </row>
    <row r="231" spans="1:9" x14ac:dyDescent="0.4">
      <c r="A231" s="5">
        <v>43159</v>
      </c>
      <c r="B231" s="6">
        <v>2427.36</v>
      </c>
      <c r="C231" s="6">
        <v>-5.72</v>
      </c>
      <c r="D231" s="6">
        <v>16.05</v>
      </c>
      <c r="E231" s="7">
        <v>1559869754</v>
      </c>
      <c r="F231">
        <v>1.8560000000000001</v>
      </c>
      <c r="G231">
        <v>1.35</v>
      </c>
      <c r="H231" s="9">
        <f t="shared" si="4"/>
        <v>-4.3699999999999992</v>
      </c>
      <c r="I231" s="9">
        <f t="shared" si="5"/>
        <v>1.3500000000000005</v>
      </c>
    </row>
    <row r="232" spans="1:9" x14ac:dyDescent="0.4">
      <c r="A232" s="2">
        <v>43190</v>
      </c>
      <c r="B232" s="3">
        <v>2445.85</v>
      </c>
      <c r="C232" s="3">
        <v>0.76</v>
      </c>
      <c r="D232" s="3">
        <v>12.99</v>
      </c>
      <c r="E232" s="4">
        <v>1574490159</v>
      </c>
      <c r="F232">
        <v>1.8939999999999999</v>
      </c>
      <c r="G232">
        <v>1.34</v>
      </c>
      <c r="H232" s="9">
        <f t="shared" si="4"/>
        <v>2.1</v>
      </c>
      <c r="I232" s="9">
        <f t="shared" si="5"/>
        <v>1.34</v>
      </c>
    </row>
    <row r="233" spans="1:9" x14ac:dyDescent="0.4">
      <c r="A233" s="2">
        <v>43220</v>
      </c>
      <c r="B233" s="3">
        <v>2515.38</v>
      </c>
      <c r="C233" s="3">
        <v>2.84</v>
      </c>
      <c r="D233" s="3">
        <v>14.05</v>
      </c>
      <c r="E233" s="4">
        <v>1622750797</v>
      </c>
      <c r="F233">
        <v>1.871</v>
      </c>
      <c r="G233">
        <v>1.3</v>
      </c>
      <c r="H233" s="9">
        <f t="shared" si="4"/>
        <v>4.1399999999999997</v>
      </c>
      <c r="I233" s="9">
        <f t="shared" si="5"/>
        <v>1.2999999999999998</v>
      </c>
    </row>
    <row r="234" spans="1:9" x14ac:dyDescent="0.4">
      <c r="A234" s="2">
        <v>43251</v>
      </c>
      <c r="B234" s="3">
        <v>2423.0100000000002</v>
      </c>
      <c r="C234" s="3">
        <v>-3.67</v>
      </c>
      <c r="D234" s="3">
        <v>3.22</v>
      </c>
      <c r="E234" s="4">
        <v>1563533696</v>
      </c>
      <c r="F234">
        <v>1.887</v>
      </c>
      <c r="G234">
        <v>1.61</v>
      </c>
      <c r="H234" s="9">
        <f t="shared" si="4"/>
        <v>-2.0599999999999996</v>
      </c>
      <c r="I234" s="9">
        <f t="shared" si="5"/>
        <v>1.6100000000000003</v>
      </c>
    </row>
    <row r="235" spans="1:9" x14ac:dyDescent="0.4">
      <c r="A235" s="2">
        <v>43281</v>
      </c>
      <c r="B235" s="3">
        <v>2326.13</v>
      </c>
      <c r="C235" s="3">
        <v>-5.34</v>
      </c>
      <c r="D235" s="3">
        <v>-2.9</v>
      </c>
      <c r="E235" s="4">
        <v>1502563375</v>
      </c>
      <c r="F235">
        <v>1.8580000000000001</v>
      </c>
      <c r="G235">
        <v>1.67</v>
      </c>
      <c r="H235" s="9">
        <f t="shared" si="4"/>
        <v>-3.67</v>
      </c>
      <c r="I235" s="9">
        <f t="shared" si="5"/>
        <v>1.67</v>
      </c>
    </row>
    <row r="236" spans="1:9" x14ac:dyDescent="0.4">
      <c r="A236" s="5">
        <v>43312</v>
      </c>
      <c r="B236" s="6">
        <v>2295.2600000000002</v>
      </c>
      <c r="C236" s="6">
        <v>-1.33</v>
      </c>
      <c r="D236" s="6">
        <v>-4.47</v>
      </c>
      <c r="E236" s="7">
        <v>1483418237</v>
      </c>
      <c r="F236">
        <v>1.8480000000000001</v>
      </c>
      <c r="G236">
        <v>1.7</v>
      </c>
      <c r="H236" s="9">
        <f t="shared" si="4"/>
        <v>0.36999999999999988</v>
      </c>
      <c r="I236" s="9">
        <f t="shared" si="5"/>
        <v>1.7</v>
      </c>
    </row>
    <row r="237" spans="1:9" x14ac:dyDescent="0.4">
      <c r="A237" s="2">
        <v>43343</v>
      </c>
      <c r="B237" s="3">
        <v>2322.88</v>
      </c>
      <c r="C237" s="3">
        <v>1.2</v>
      </c>
      <c r="D237" s="3">
        <v>-1.71</v>
      </c>
      <c r="E237" s="4">
        <v>1501467066</v>
      </c>
      <c r="F237">
        <v>1.8360000000000001</v>
      </c>
      <c r="G237">
        <v>1.68</v>
      </c>
      <c r="H237" s="9">
        <f t="shared" si="4"/>
        <v>2.88</v>
      </c>
      <c r="I237" s="9">
        <f t="shared" si="5"/>
        <v>1.68</v>
      </c>
    </row>
    <row r="238" spans="1:9" x14ac:dyDescent="0.4">
      <c r="A238" s="2">
        <v>43373</v>
      </c>
      <c r="B238" s="3">
        <v>2343.0700000000002</v>
      </c>
      <c r="C238" s="3">
        <v>1.73</v>
      </c>
      <c r="D238" s="3">
        <v>-1.27</v>
      </c>
      <c r="E238" s="4">
        <v>1515766770</v>
      </c>
      <c r="F238">
        <v>1.82</v>
      </c>
      <c r="G238">
        <v>1.66</v>
      </c>
      <c r="H238" s="9">
        <f t="shared" si="4"/>
        <v>3.3899999999999997</v>
      </c>
      <c r="I238" s="9">
        <f t="shared" si="5"/>
        <v>1.6599999999999997</v>
      </c>
    </row>
    <row r="239" spans="1:9" x14ac:dyDescent="0.4">
      <c r="A239" s="2">
        <v>43404</v>
      </c>
      <c r="B239" s="3">
        <v>2029.69</v>
      </c>
      <c r="C239" s="3">
        <v>-13.37</v>
      </c>
      <c r="D239" s="3">
        <v>-19.57</v>
      </c>
      <c r="E239" s="4">
        <v>1313985132</v>
      </c>
      <c r="F239">
        <v>1.901</v>
      </c>
      <c r="G239">
        <v>1.91</v>
      </c>
      <c r="H239" s="9">
        <f t="shared" si="4"/>
        <v>-11.459999999999999</v>
      </c>
      <c r="I239" s="9">
        <f t="shared" si="5"/>
        <v>1.9100000000000001</v>
      </c>
    </row>
    <row r="240" spans="1:9" x14ac:dyDescent="0.4">
      <c r="A240" s="2">
        <v>43434</v>
      </c>
      <c r="B240" s="3">
        <v>2096.86</v>
      </c>
      <c r="C240" s="3">
        <v>4.08</v>
      </c>
      <c r="D240" s="3">
        <v>-15.33</v>
      </c>
      <c r="E240" s="4">
        <v>1358220525</v>
      </c>
      <c r="F240">
        <v>1.8959999999999999</v>
      </c>
      <c r="G240">
        <v>1.85</v>
      </c>
      <c r="H240" s="9">
        <f t="shared" si="4"/>
        <v>5.93</v>
      </c>
      <c r="I240" s="9">
        <f t="shared" si="5"/>
        <v>1.8499999999999996</v>
      </c>
    </row>
    <row r="241" spans="1:9" x14ac:dyDescent="0.4">
      <c r="A241" s="5">
        <v>43465</v>
      </c>
      <c r="B241" s="6">
        <v>2041.04</v>
      </c>
      <c r="C241" s="6">
        <v>-3.19</v>
      </c>
      <c r="D241" s="6">
        <v>-17.28</v>
      </c>
      <c r="E241" s="7">
        <v>1303744982</v>
      </c>
      <c r="F241">
        <v>1.8540000000000001</v>
      </c>
      <c r="G241">
        <v>1.93</v>
      </c>
      <c r="H241" s="9">
        <f t="shared" si="4"/>
        <v>-1.26</v>
      </c>
      <c r="I241" s="9">
        <f t="shared" si="5"/>
        <v>1.93</v>
      </c>
    </row>
    <row r="242" spans="1:9" x14ac:dyDescent="0.4">
      <c r="A242" s="2">
        <v>43496</v>
      </c>
      <c r="B242" s="3">
        <v>2204.85</v>
      </c>
      <c r="C242" s="3">
        <v>8.0299999999999994</v>
      </c>
      <c r="D242" s="3">
        <v>-14.09</v>
      </c>
      <c r="E242" s="4">
        <v>1409035224</v>
      </c>
      <c r="F242">
        <v>1.8080000000000001</v>
      </c>
      <c r="G242">
        <v>1.78</v>
      </c>
      <c r="H242" s="9">
        <f t="shared" si="4"/>
        <v>9.8099999999999987</v>
      </c>
      <c r="I242" s="9">
        <f t="shared" si="5"/>
        <v>1.7799999999999994</v>
      </c>
    </row>
    <row r="243" spans="1:9" x14ac:dyDescent="0.4">
      <c r="A243" s="2">
        <v>43524</v>
      </c>
      <c r="B243" s="3">
        <v>2195.44</v>
      </c>
      <c r="C243" s="3">
        <v>0.83</v>
      </c>
      <c r="D243" s="3">
        <v>-9.5500000000000007</v>
      </c>
      <c r="E243" s="4">
        <v>1403287264</v>
      </c>
      <c r="F243">
        <v>1.831</v>
      </c>
      <c r="G243">
        <v>1.77</v>
      </c>
      <c r="H243" s="9">
        <f t="shared" si="4"/>
        <v>2.6</v>
      </c>
      <c r="I243" s="9">
        <f t="shared" si="5"/>
        <v>1.77</v>
      </c>
    </row>
    <row r="244" spans="1:9" x14ac:dyDescent="0.4">
      <c r="A244" s="2">
        <v>43555</v>
      </c>
      <c r="B244" s="3">
        <v>2140.67</v>
      </c>
      <c r="C244" s="3">
        <v>-2.4900000000000002</v>
      </c>
      <c r="D244" s="3">
        <v>-12.14</v>
      </c>
      <c r="E244" s="4">
        <v>1372863259</v>
      </c>
      <c r="F244">
        <v>1.831</v>
      </c>
      <c r="G244">
        <v>1.81</v>
      </c>
      <c r="H244" s="9">
        <f t="shared" si="4"/>
        <v>-0.68000000000000016</v>
      </c>
      <c r="I244" s="9">
        <f t="shared" si="5"/>
        <v>1.81</v>
      </c>
    </row>
    <row r="245" spans="1:9" x14ac:dyDescent="0.4">
      <c r="A245" s="2">
        <v>43585</v>
      </c>
      <c r="B245" s="3">
        <v>2203.59</v>
      </c>
      <c r="C245" s="3">
        <v>2.94</v>
      </c>
      <c r="D245" s="3">
        <v>-12.4</v>
      </c>
      <c r="E245" s="4">
        <v>1414162449</v>
      </c>
      <c r="F245">
        <v>1.77</v>
      </c>
      <c r="G245">
        <v>1.76</v>
      </c>
      <c r="H245" s="9">
        <f t="shared" si="4"/>
        <v>4.7</v>
      </c>
      <c r="I245" s="9">
        <f t="shared" si="5"/>
        <v>1.7600000000000002</v>
      </c>
    </row>
    <row r="246" spans="1:9" x14ac:dyDescent="0.4">
      <c r="A246" s="5">
        <v>43616</v>
      </c>
      <c r="B246" s="6">
        <v>2041.74</v>
      </c>
      <c r="C246" s="6">
        <v>-7.34</v>
      </c>
      <c r="D246" s="6">
        <v>-15.74</v>
      </c>
      <c r="E246" s="7">
        <v>1313647539</v>
      </c>
      <c r="F246">
        <v>1.7150000000000001</v>
      </c>
      <c r="G246">
        <v>2.2000000000000002</v>
      </c>
      <c r="H246" s="9">
        <f t="shared" si="4"/>
        <v>-5.14</v>
      </c>
      <c r="I246" s="9">
        <f t="shared" si="5"/>
        <v>2.2000000000000002</v>
      </c>
    </row>
    <row r="247" spans="1:9" x14ac:dyDescent="0.4">
      <c r="A247" s="2">
        <v>43646</v>
      </c>
      <c r="B247" s="3">
        <v>2130.62</v>
      </c>
      <c r="C247" s="3">
        <v>3.99</v>
      </c>
      <c r="D247" s="3">
        <v>-7.93</v>
      </c>
      <c r="E247" s="4">
        <v>1371249111</v>
      </c>
      <c r="F247">
        <v>1.5660000000000001</v>
      </c>
      <c r="G247">
        <v>2.09</v>
      </c>
      <c r="H247" s="9">
        <f t="shared" si="4"/>
        <v>6.08</v>
      </c>
      <c r="I247" s="9">
        <f t="shared" si="5"/>
        <v>2.09</v>
      </c>
    </row>
    <row r="248" spans="1:9" x14ac:dyDescent="0.4">
      <c r="A248" s="2">
        <v>43677</v>
      </c>
      <c r="B248" s="3">
        <v>2024.55</v>
      </c>
      <c r="C248" s="3">
        <v>-4.9800000000000004</v>
      </c>
      <c r="D248" s="3">
        <v>-11.79</v>
      </c>
      <c r="E248" s="4">
        <v>1303275214</v>
      </c>
      <c r="F248">
        <v>1.4670000000000001</v>
      </c>
      <c r="G248">
        <v>2.2000000000000002</v>
      </c>
      <c r="H248" s="9">
        <f t="shared" si="4"/>
        <v>-2.7800000000000002</v>
      </c>
      <c r="I248" s="9">
        <f t="shared" si="5"/>
        <v>2.2000000000000002</v>
      </c>
    </row>
    <row r="249" spans="1:9" x14ac:dyDescent="0.4">
      <c r="A249" s="2">
        <v>43708</v>
      </c>
      <c r="B249" s="3">
        <v>1967.79</v>
      </c>
      <c r="C249" s="3">
        <v>-3.48</v>
      </c>
      <c r="D249" s="3">
        <v>-14.72</v>
      </c>
      <c r="E249" s="4">
        <v>1267009826</v>
      </c>
      <c r="F249">
        <v>1.2170000000000001</v>
      </c>
      <c r="G249">
        <v>2.2599999999999998</v>
      </c>
      <c r="H249" s="9">
        <f t="shared" si="4"/>
        <v>-1.2200000000000002</v>
      </c>
      <c r="I249" s="9">
        <f t="shared" si="5"/>
        <v>2.2599999999999998</v>
      </c>
    </row>
    <row r="250" spans="1:9" x14ac:dyDescent="0.4">
      <c r="A250" s="2">
        <v>43738</v>
      </c>
      <c r="B250" s="3">
        <v>2063.0500000000002</v>
      </c>
      <c r="C250" s="3">
        <v>4.84</v>
      </c>
      <c r="D250" s="3">
        <v>-11.95</v>
      </c>
      <c r="E250" s="4">
        <v>1330523879</v>
      </c>
      <c r="F250">
        <v>1.2869999999999999</v>
      </c>
      <c r="G250">
        <v>2.16</v>
      </c>
      <c r="H250" s="9">
        <f t="shared" si="4"/>
        <v>7</v>
      </c>
      <c r="I250" s="9">
        <f t="shared" si="5"/>
        <v>2.16</v>
      </c>
    </row>
    <row r="251" spans="1:9" x14ac:dyDescent="0.4">
      <c r="A251" s="5">
        <v>43769</v>
      </c>
      <c r="B251" s="6">
        <v>2083.48</v>
      </c>
      <c r="C251" s="6">
        <v>0.99</v>
      </c>
      <c r="D251" s="6">
        <v>2.65</v>
      </c>
      <c r="E251" s="7">
        <v>1346832519</v>
      </c>
      <c r="F251">
        <v>1.3340000000000001</v>
      </c>
      <c r="G251">
        <v>2.13</v>
      </c>
      <c r="H251" s="9">
        <f t="shared" si="4"/>
        <v>3.12</v>
      </c>
      <c r="I251" s="9">
        <f t="shared" si="5"/>
        <v>2.13</v>
      </c>
    </row>
    <row r="252" spans="1:9" x14ac:dyDescent="0.4">
      <c r="A252" s="2">
        <v>43799</v>
      </c>
      <c r="B252" s="3">
        <v>2087.96</v>
      </c>
      <c r="C252" s="3">
        <v>-0.23</v>
      </c>
      <c r="D252" s="3">
        <v>-1.24</v>
      </c>
      <c r="E252" s="4">
        <v>1351982212</v>
      </c>
      <c r="F252">
        <v>1.421</v>
      </c>
      <c r="G252">
        <v>2.13</v>
      </c>
      <c r="H252" s="9">
        <f t="shared" si="4"/>
        <v>1.9</v>
      </c>
      <c r="I252" s="9">
        <f t="shared" si="5"/>
        <v>2.13</v>
      </c>
    </row>
    <row r="253" spans="1:9" x14ac:dyDescent="0.4">
      <c r="A253" s="2">
        <v>43830</v>
      </c>
      <c r="B253" s="3">
        <v>2197.67</v>
      </c>
      <c r="C253" s="3">
        <v>5.25</v>
      </c>
      <c r="D253" s="3">
        <v>7.67</v>
      </c>
      <c r="E253" s="4">
        <v>1423110422</v>
      </c>
      <c r="F253">
        <v>1.379</v>
      </c>
      <c r="G253">
        <v>2.02</v>
      </c>
      <c r="H253" s="9">
        <f t="shared" si="4"/>
        <v>7.27</v>
      </c>
      <c r="I253" s="9">
        <f t="shared" si="5"/>
        <v>2.0199999999999996</v>
      </c>
    </row>
    <row r="254" spans="1:9" x14ac:dyDescent="0.4">
      <c r="A254" s="2">
        <v>43861</v>
      </c>
      <c r="B254" s="3">
        <v>2119.0100000000002</v>
      </c>
      <c r="C254" s="3">
        <v>-3.58</v>
      </c>
      <c r="D254" s="3">
        <v>-3.89</v>
      </c>
      <c r="E254" s="4">
        <v>1373026774</v>
      </c>
      <c r="F254">
        <v>1.3380000000000001</v>
      </c>
      <c r="G254">
        <v>2.09</v>
      </c>
      <c r="H254" s="9">
        <f t="shared" ref="H254:H316" si="6">C254+G254</f>
        <v>-1.4900000000000002</v>
      </c>
      <c r="I254" s="9">
        <f t="shared" si="5"/>
        <v>2.09</v>
      </c>
    </row>
    <row r="255" spans="1:9" x14ac:dyDescent="0.4">
      <c r="A255" s="2">
        <v>43890</v>
      </c>
      <c r="B255" s="3">
        <v>1987.01</v>
      </c>
      <c r="C255" s="3">
        <v>-8.7200000000000006</v>
      </c>
      <c r="D255" s="3">
        <v>-9.49</v>
      </c>
      <c r="E255" s="4">
        <v>1286102094</v>
      </c>
      <c r="F255">
        <v>1.228</v>
      </c>
      <c r="G255">
        <v>2.2200000000000002</v>
      </c>
      <c r="H255" s="9">
        <f t="shared" si="6"/>
        <v>-6.5</v>
      </c>
      <c r="I255" s="9">
        <f t="shared" ref="I255:I316" si="7">H255-C255</f>
        <v>2.2200000000000006</v>
      </c>
    </row>
    <row r="256" spans="1:9" x14ac:dyDescent="0.4">
      <c r="A256" s="5">
        <v>43921</v>
      </c>
      <c r="B256" s="6">
        <v>1754.64</v>
      </c>
      <c r="C256" s="6">
        <v>-11.69</v>
      </c>
      <c r="D256" s="6">
        <v>-18.03</v>
      </c>
      <c r="E256" s="7">
        <v>1135440388</v>
      </c>
      <c r="F256">
        <v>1.0469999999999999</v>
      </c>
      <c r="G256">
        <v>2.5099999999999998</v>
      </c>
      <c r="H256" s="9">
        <f t="shared" si="6"/>
        <v>-9.18</v>
      </c>
      <c r="I256" s="9">
        <f t="shared" si="7"/>
        <v>2.5099999999999998</v>
      </c>
    </row>
    <row r="257" spans="1:9" x14ac:dyDescent="0.4">
      <c r="A257" s="2">
        <v>43951</v>
      </c>
      <c r="B257" s="3">
        <v>1947.56</v>
      </c>
      <c r="C257" s="3">
        <v>13.38</v>
      </c>
      <c r="D257" s="3">
        <v>-12.13</v>
      </c>
      <c r="E257" s="4">
        <v>1260152521</v>
      </c>
      <c r="F257">
        <v>0.873</v>
      </c>
      <c r="G257">
        <v>2.27</v>
      </c>
      <c r="H257" s="9">
        <f t="shared" si="6"/>
        <v>15.65</v>
      </c>
      <c r="I257" s="9">
        <f t="shared" si="7"/>
        <v>2.2699999999999996</v>
      </c>
    </row>
    <row r="258" spans="1:9" x14ac:dyDescent="0.4">
      <c r="A258" s="2">
        <v>43982</v>
      </c>
      <c r="B258" s="3">
        <v>2029.6</v>
      </c>
      <c r="C258" s="3">
        <v>4.21</v>
      </c>
      <c r="D258" s="3">
        <v>0.31</v>
      </c>
      <c r="E258" s="4">
        <v>1313834535</v>
      </c>
      <c r="F258">
        <v>0.73499999999999999</v>
      </c>
      <c r="G258">
        <v>2.15</v>
      </c>
      <c r="H258" s="9">
        <f t="shared" si="6"/>
        <v>6.3599999999999994</v>
      </c>
      <c r="I258" s="9">
        <f t="shared" si="7"/>
        <v>2.1499999999999995</v>
      </c>
    </row>
    <row r="259" spans="1:9" x14ac:dyDescent="0.4">
      <c r="A259" s="2">
        <v>44012</v>
      </c>
      <c r="B259" s="3">
        <v>2108.33</v>
      </c>
      <c r="C259" s="3">
        <v>3.88</v>
      </c>
      <c r="D259" s="3">
        <v>-1.05</v>
      </c>
      <c r="E259" s="4">
        <v>1367143356</v>
      </c>
      <c r="F259">
        <v>0.67200000000000004</v>
      </c>
      <c r="G259">
        <v>2.06</v>
      </c>
      <c r="H259" s="9">
        <f t="shared" si="6"/>
        <v>5.9399999999999995</v>
      </c>
      <c r="I259" s="9">
        <f t="shared" si="7"/>
        <v>2.0599999999999996</v>
      </c>
    </row>
    <row r="260" spans="1:9" x14ac:dyDescent="0.4">
      <c r="A260" s="2">
        <v>44043</v>
      </c>
      <c r="B260" s="3">
        <v>2249.37</v>
      </c>
      <c r="C260" s="3">
        <v>6.69</v>
      </c>
      <c r="D260" s="3">
        <v>11.1</v>
      </c>
      <c r="E260" s="4">
        <v>1469285023</v>
      </c>
      <c r="F260">
        <v>0.63</v>
      </c>
      <c r="G260">
        <v>1.92</v>
      </c>
      <c r="H260" s="9">
        <f t="shared" si="6"/>
        <v>8.61</v>
      </c>
      <c r="I260" s="9">
        <f t="shared" si="7"/>
        <v>1.919999999999999</v>
      </c>
    </row>
    <row r="261" spans="1:9" x14ac:dyDescent="0.4">
      <c r="A261" s="5">
        <v>44074</v>
      </c>
      <c r="B261" s="6">
        <v>2326.17</v>
      </c>
      <c r="C261" s="6">
        <v>3.41</v>
      </c>
      <c r="D261" s="6">
        <v>18.21</v>
      </c>
      <c r="E261" s="7">
        <v>1522253438</v>
      </c>
      <c r="F261">
        <v>0.62</v>
      </c>
      <c r="G261">
        <v>1.85</v>
      </c>
      <c r="H261" s="9">
        <f t="shared" si="6"/>
        <v>5.26</v>
      </c>
      <c r="I261" s="9">
        <f t="shared" si="7"/>
        <v>1.8499999999999996</v>
      </c>
    </row>
    <row r="262" spans="1:9" x14ac:dyDescent="0.4">
      <c r="A262" s="2">
        <v>44104</v>
      </c>
      <c r="B262" s="3">
        <v>2327.89</v>
      </c>
      <c r="C262" s="3">
        <v>-1.1000000000000001</v>
      </c>
      <c r="D262" s="3">
        <v>13.56</v>
      </c>
      <c r="E262" s="4">
        <v>1523916617</v>
      </c>
      <c r="F262">
        <v>0.68899999999999995</v>
      </c>
      <c r="G262">
        <v>1.85</v>
      </c>
      <c r="H262" s="9">
        <f t="shared" si="6"/>
        <v>0.75</v>
      </c>
      <c r="I262" s="9">
        <f t="shared" si="7"/>
        <v>1.85</v>
      </c>
    </row>
    <row r="263" spans="1:9" x14ac:dyDescent="0.4">
      <c r="A263" s="2">
        <v>44135</v>
      </c>
      <c r="B263" s="3">
        <v>2267.15</v>
      </c>
      <c r="C263" s="3">
        <v>-2.61</v>
      </c>
      <c r="D263" s="3">
        <v>8.98</v>
      </c>
      <c r="E263" s="4">
        <v>1495486228</v>
      </c>
      <c r="F263">
        <v>0.69799999999999995</v>
      </c>
      <c r="G263">
        <v>1.89</v>
      </c>
      <c r="H263" s="9">
        <f t="shared" si="6"/>
        <v>-0.72</v>
      </c>
      <c r="I263" s="9">
        <f t="shared" si="7"/>
        <v>1.89</v>
      </c>
    </row>
    <row r="264" spans="1:9" x14ac:dyDescent="0.4">
      <c r="A264" s="2">
        <v>44165</v>
      </c>
      <c r="B264" s="3">
        <v>2591.34</v>
      </c>
      <c r="C264" s="3">
        <v>14.3</v>
      </c>
      <c r="D264" s="3">
        <v>24.11</v>
      </c>
      <c r="E264" s="4">
        <v>1711571110</v>
      </c>
      <c r="F264">
        <v>0.71499999999999997</v>
      </c>
      <c r="G264">
        <v>1.65</v>
      </c>
      <c r="H264" s="9">
        <f t="shared" si="6"/>
        <v>15.950000000000001</v>
      </c>
      <c r="I264" s="9">
        <f t="shared" si="7"/>
        <v>1.6500000000000004</v>
      </c>
    </row>
    <row r="265" spans="1:9" x14ac:dyDescent="0.4">
      <c r="A265" s="2">
        <v>44196</v>
      </c>
      <c r="B265" s="3">
        <v>2873.47</v>
      </c>
      <c r="C265" s="3">
        <v>10.89</v>
      </c>
      <c r="D265" s="3">
        <v>30.75</v>
      </c>
      <c r="E265" s="4">
        <v>1902781704</v>
      </c>
      <c r="F265">
        <v>0.72699999999999998</v>
      </c>
      <c r="G265">
        <v>1.48</v>
      </c>
      <c r="H265" s="9">
        <f t="shared" si="6"/>
        <v>12.370000000000001</v>
      </c>
      <c r="I265" s="9">
        <f t="shared" si="7"/>
        <v>1.4800000000000004</v>
      </c>
    </row>
    <row r="266" spans="1:9" x14ac:dyDescent="0.4">
      <c r="A266" s="5">
        <v>44227</v>
      </c>
      <c r="B266" s="6">
        <v>2976.21</v>
      </c>
      <c r="C266" s="6">
        <v>5.52</v>
      </c>
      <c r="D266" s="6">
        <v>36.19</v>
      </c>
      <c r="E266" s="7">
        <v>1977599755</v>
      </c>
      <c r="F266">
        <v>0.69</v>
      </c>
      <c r="G266">
        <v>1.43</v>
      </c>
      <c r="H266" s="9">
        <f t="shared" si="6"/>
        <v>6.9499999999999993</v>
      </c>
      <c r="I266" s="9">
        <f t="shared" si="7"/>
        <v>1.4299999999999997</v>
      </c>
    </row>
    <row r="267" spans="1:9" x14ac:dyDescent="0.4">
      <c r="A267" s="2">
        <v>44255</v>
      </c>
      <c r="B267" s="3">
        <v>3012.95</v>
      </c>
      <c r="C267" s="3">
        <v>-4.0599999999999996</v>
      </c>
      <c r="D267" s="3">
        <v>45.08</v>
      </c>
      <c r="E267" s="4">
        <v>2003886200</v>
      </c>
      <c r="F267">
        <v>0.68400000000000005</v>
      </c>
      <c r="G267">
        <v>1.41</v>
      </c>
      <c r="H267" s="9">
        <f t="shared" si="6"/>
        <v>-2.6499999999999995</v>
      </c>
      <c r="I267" s="9">
        <f t="shared" si="7"/>
        <v>1.4100000000000001</v>
      </c>
    </row>
    <row r="268" spans="1:9" x14ac:dyDescent="0.4">
      <c r="A268" s="2">
        <v>44286</v>
      </c>
      <c r="B268" s="3">
        <v>3061.42</v>
      </c>
      <c r="C268" s="3">
        <v>1.61</v>
      </c>
      <c r="D268" s="3">
        <v>74.48</v>
      </c>
      <c r="E268" s="4">
        <v>2050014178</v>
      </c>
      <c r="F268">
        <v>0.68100000000000005</v>
      </c>
      <c r="G268">
        <v>1.38</v>
      </c>
      <c r="H268" s="9">
        <f t="shared" si="6"/>
        <v>2.99</v>
      </c>
      <c r="I268" s="9">
        <f t="shared" si="7"/>
        <v>1.3800000000000001</v>
      </c>
    </row>
    <row r="269" spans="1:9" x14ac:dyDescent="0.4">
      <c r="A269" s="2">
        <v>44316</v>
      </c>
      <c r="B269" s="3">
        <v>3147.86</v>
      </c>
      <c r="C269" s="3">
        <v>2.54</v>
      </c>
      <c r="D269" s="3">
        <v>61.63</v>
      </c>
      <c r="E269" s="4">
        <v>2111575395</v>
      </c>
      <c r="F269">
        <v>0.66</v>
      </c>
      <c r="G269">
        <v>1.34</v>
      </c>
      <c r="H269" s="9">
        <f t="shared" si="6"/>
        <v>3.88</v>
      </c>
      <c r="I269" s="9">
        <f t="shared" si="7"/>
        <v>1.3399999999999999</v>
      </c>
    </row>
    <row r="270" spans="1:9" x14ac:dyDescent="0.4">
      <c r="A270" s="2">
        <v>44347</v>
      </c>
      <c r="B270" s="3">
        <v>3203.92</v>
      </c>
      <c r="C270" s="3">
        <v>1.78</v>
      </c>
      <c r="D270" s="3">
        <v>57.86</v>
      </c>
      <c r="E270" s="4">
        <v>2155256046</v>
      </c>
      <c r="F270">
        <v>0.63900000000000001</v>
      </c>
      <c r="G270">
        <v>1.79</v>
      </c>
      <c r="H270" s="9">
        <f t="shared" si="6"/>
        <v>3.5700000000000003</v>
      </c>
      <c r="I270" s="9">
        <f t="shared" si="7"/>
        <v>1.7900000000000003</v>
      </c>
    </row>
    <row r="271" spans="1:9" x14ac:dyDescent="0.4">
      <c r="A271" s="5">
        <v>44377</v>
      </c>
      <c r="B271" s="6">
        <v>3296.68</v>
      </c>
      <c r="C271" s="6">
        <v>3.39</v>
      </c>
      <c r="D271" s="6">
        <v>56.36</v>
      </c>
      <c r="E271" s="7">
        <v>2219312892</v>
      </c>
      <c r="F271">
        <v>0.86099999999999999</v>
      </c>
      <c r="G271">
        <v>1.73</v>
      </c>
      <c r="H271" s="9">
        <f t="shared" si="6"/>
        <v>5.12</v>
      </c>
      <c r="I271" s="9">
        <f t="shared" si="7"/>
        <v>1.73</v>
      </c>
    </row>
    <row r="272" spans="1:9" x14ac:dyDescent="0.4">
      <c r="A272" s="2">
        <v>44408</v>
      </c>
      <c r="B272" s="3">
        <v>3202.32</v>
      </c>
      <c r="C272" s="3">
        <v>-2.86</v>
      </c>
      <c r="D272" s="3">
        <v>41.26</v>
      </c>
      <c r="E272" s="4">
        <v>2167565228</v>
      </c>
      <c r="F272">
        <v>0.93600000000000005</v>
      </c>
      <c r="G272">
        <v>1.78</v>
      </c>
      <c r="H272" s="9">
        <f t="shared" si="6"/>
        <v>-1.0799999999999998</v>
      </c>
      <c r="I272" s="9">
        <f t="shared" si="7"/>
        <v>1.78</v>
      </c>
    </row>
    <row r="273" spans="1:9" x14ac:dyDescent="0.4">
      <c r="A273" s="2">
        <v>44439</v>
      </c>
      <c r="B273" s="3">
        <v>3199.27</v>
      </c>
      <c r="C273" s="3">
        <v>-0.1</v>
      </c>
      <c r="D273" s="3">
        <v>37.53</v>
      </c>
      <c r="E273" s="4">
        <v>2225575449</v>
      </c>
      <c r="F273">
        <v>1.0049999999999999</v>
      </c>
      <c r="G273">
        <v>1.73</v>
      </c>
      <c r="H273" s="9">
        <f t="shared" si="6"/>
        <v>1.63</v>
      </c>
      <c r="I273" s="9">
        <f t="shared" si="7"/>
        <v>1.73</v>
      </c>
    </row>
    <row r="274" spans="1:9" x14ac:dyDescent="0.4">
      <c r="A274" s="2">
        <v>44469</v>
      </c>
      <c r="B274" s="3">
        <v>3068.82</v>
      </c>
      <c r="C274" s="3">
        <v>-2.4</v>
      </c>
      <c r="D274" s="3">
        <v>31.83</v>
      </c>
      <c r="E274" s="4">
        <v>2152028298</v>
      </c>
      <c r="F274">
        <v>1.069</v>
      </c>
      <c r="G274">
        <v>1.79</v>
      </c>
      <c r="H274" s="9">
        <f t="shared" si="6"/>
        <v>-0.60999999999999988</v>
      </c>
      <c r="I274" s="9">
        <f t="shared" si="7"/>
        <v>1.79</v>
      </c>
    </row>
    <row r="275" spans="1:9" x14ac:dyDescent="0.4">
      <c r="A275" s="2">
        <v>44500</v>
      </c>
      <c r="B275" s="3">
        <v>2970.68</v>
      </c>
      <c r="C275" s="3">
        <v>-2.93</v>
      </c>
      <c r="D275" s="3">
        <v>27.68</v>
      </c>
      <c r="E275" s="4">
        <v>2085286625</v>
      </c>
      <c r="F275">
        <v>1.204</v>
      </c>
      <c r="G275">
        <v>1.85</v>
      </c>
      <c r="H275" s="9">
        <f t="shared" si="6"/>
        <v>-1.08</v>
      </c>
      <c r="I275" s="9">
        <f t="shared" si="7"/>
        <v>1.85</v>
      </c>
    </row>
    <row r="276" spans="1:9" x14ac:dyDescent="0.4">
      <c r="A276" s="5">
        <v>44530</v>
      </c>
      <c r="B276" s="6">
        <v>2839.01</v>
      </c>
      <c r="C276" s="6">
        <v>-4.43</v>
      </c>
      <c r="D276" s="6">
        <v>9.56</v>
      </c>
      <c r="E276" s="7">
        <v>2021876304</v>
      </c>
      <c r="F276">
        <v>1.339</v>
      </c>
      <c r="G276">
        <v>1.92</v>
      </c>
      <c r="H276" s="9">
        <f t="shared" si="6"/>
        <v>-2.5099999999999998</v>
      </c>
      <c r="I276" s="9">
        <f t="shared" si="7"/>
        <v>1.92</v>
      </c>
    </row>
    <row r="277" spans="1:9" x14ac:dyDescent="0.4">
      <c r="A277" s="2">
        <v>44561</v>
      </c>
      <c r="B277" s="3">
        <v>2977.65</v>
      </c>
      <c r="C277" s="3">
        <v>4.88</v>
      </c>
      <c r="D277" s="3">
        <v>3.63</v>
      </c>
      <c r="E277" s="4">
        <v>2124870641</v>
      </c>
      <c r="F277">
        <v>1.3169999999999999</v>
      </c>
      <c r="G277">
        <v>1.82</v>
      </c>
      <c r="H277" s="9">
        <f t="shared" si="6"/>
        <v>6.7</v>
      </c>
      <c r="I277" s="9">
        <f t="shared" si="7"/>
        <v>1.8200000000000003</v>
      </c>
    </row>
    <row r="278" spans="1:9" x14ac:dyDescent="0.4">
      <c r="A278" s="2">
        <v>44592</v>
      </c>
      <c r="B278" s="3">
        <v>2663.34</v>
      </c>
      <c r="C278" s="3">
        <v>-11.82</v>
      </c>
      <c r="D278" s="3">
        <v>-13.22</v>
      </c>
      <c r="E278" s="4">
        <v>2020516470</v>
      </c>
      <c r="F278">
        <v>1.4239999999999999</v>
      </c>
      <c r="G278">
        <v>1.92</v>
      </c>
      <c r="H278" s="9">
        <f t="shared" si="6"/>
        <v>-9.9</v>
      </c>
      <c r="I278" s="9">
        <f t="shared" si="7"/>
        <v>1.92</v>
      </c>
    </row>
    <row r="279" spans="1:9" x14ac:dyDescent="0.4">
      <c r="A279" s="2">
        <v>44620</v>
      </c>
      <c r="B279" s="3">
        <v>2699.18</v>
      </c>
      <c r="C279" s="3">
        <v>1.35</v>
      </c>
      <c r="D279" s="3">
        <v>-10.41</v>
      </c>
      <c r="E279" s="4">
        <v>2051175120</v>
      </c>
      <c r="F279">
        <v>1.5469999999999999</v>
      </c>
      <c r="G279">
        <v>1.89</v>
      </c>
      <c r="H279" s="9">
        <f t="shared" si="6"/>
        <v>3.24</v>
      </c>
      <c r="I279" s="9">
        <f t="shared" si="7"/>
        <v>1.8900000000000001</v>
      </c>
    </row>
    <row r="280" spans="1:9" x14ac:dyDescent="0.4">
      <c r="A280" s="2">
        <v>44651</v>
      </c>
      <c r="B280" s="3">
        <v>2757.65</v>
      </c>
      <c r="C280" s="3">
        <v>2.17</v>
      </c>
      <c r="D280" s="3">
        <v>-9.92</v>
      </c>
      <c r="E280" s="4">
        <v>2096135430</v>
      </c>
      <c r="F280">
        <v>1.583</v>
      </c>
      <c r="G280">
        <v>1.85</v>
      </c>
      <c r="H280" s="9">
        <f t="shared" si="6"/>
        <v>4.0199999999999996</v>
      </c>
      <c r="I280" s="9">
        <f t="shared" si="7"/>
        <v>1.8499999999999996</v>
      </c>
    </row>
    <row r="281" spans="1:9" x14ac:dyDescent="0.4">
      <c r="A281" s="5">
        <v>44681</v>
      </c>
      <c r="B281" s="6">
        <v>2695.05</v>
      </c>
      <c r="C281" s="6">
        <v>-1.68</v>
      </c>
      <c r="D281" s="6">
        <v>-15.09</v>
      </c>
      <c r="E281" s="7">
        <v>2049531158</v>
      </c>
      <c r="F281">
        <v>1.931</v>
      </c>
      <c r="G281">
        <v>1.89</v>
      </c>
      <c r="H281" s="9">
        <f t="shared" si="6"/>
        <v>0.20999999999999996</v>
      </c>
      <c r="I281" s="9">
        <f t="shared" si="7"/>
        <v>1.89</v>
      </c>
    </row>
    <row r="282" spans="1:9" x14ac:dyDescent="0.4">
      <c r="A282" s="2">
        <v>44712</v>
      </c>
      <c r="B282" s="3">
        <v>2685.9</v>
      </c>
      <c r="C282" s="3">
        <v>-0.34</v>
      </c>
      <c r="D282" s="3">
        <v>-16.170000000000002</v>
      </c>
      <c r="E282" s="4">
        <v>2042553083</v>
      </c>
      <c r="F282">
        <v>1.956</v>
      </c>
      <c r="G282">
        <v>1.85</v>
      </c>
      <c r="H282" s="9">
        <f t="shared" si="6"/>
        <v>1.51</v>
      </c>
      <c r="I282" s="9">
        <f t="shared" si="7"/>
        <v>1.85</v>
      </c>
    </row>
    <row r="283" spans="1:9" x14ac:dyDescent="0.4">
      <c r="A283" s="2">
        <v>44742</v>
      </c>
      <c r="B283" s="3">
        <v>2332.64</v>
      </c>
      <c r="C283" s="3">
        <v>-12.62</v>
      </c>
      <c r="D283" s="3">
        <v>-29.24</v>
      </c>
      <c r="E283" s="4">
        <v>1774122018</v>
      </c>
      <c r="F283">
        <v>2.508</v>
      </c>
      <c r="G283">
        <v>2.13</v>
      </c>
      <c r="H283" s="9">
        <f t="shared" si="6"/>
        <v>-10.489999999999998</v>
      </c>
      <c r="I283" s="9">
        <f t="shared" si="7"/>
        <v>2.1300000000000008</v>
      </c>
    </row>
    <row r="284" spans="1:9" x14ac:dyDescent="0.4">
      <c r="A284" s="2">
        <v>44773</v>
      </c>
      <c r="B284" s="3">
        <v>2451.5</v>
      </c>
      <c r="C284" s="3">
        <v>3.09</v>
      </c>
      <c r="D284" s="3">
        <v>-24.4</v>
      </c>
      <c r="E284" s="4">
        <v>1865375609</v>
      </c>
      <c r="F284">
        <v>2.956</v>
      </c>
      <c r="G284">
        <v>2.02</v>
      </c>
      <c r="H284" s="9">
        <f t="shared" si="6"/>
        <v>5.1099999999999994</v>
      </c>
      <c r="I284" s="9">
        <f t="shared" si="7"/>
        <v>2.0199999999999996</v>
      </c>
    </row>
    <row r="285" spans="1:9" x14ac:dyDescent="0.4">
      <c r="A285" s="2">
        <v>44804</v>
      </c>
      <c r="B285" s="3">
        <v>2472.0500000000002</v>
      </c>
      <c r="C285" s="3">
        <v>0.84</v>
      </c>
      <c r="D285" s="3">
        <v>-22.73</v>
      </c>
      <c r="E285" s="4">
        <v>1883346534</v>
      </c>
      <c r="F285">
        <v>3.0070000000000001</v>
      </c>
      <c r="G285">
        <v>2</v>
      </c>
      <c r="H285" s="9">
        <f t="shared" si="6"/>
        <v>2.84</v>
      </c>
      <c r="I285" s="9">
        <f t="shared" si="7"/>
        <v>2</v>
      </c>
    </row>
    <row r="286" spans="1:9" x14ac:dyDescent="0.4">
      <c r="A286" s="5">
        <v>44834</v>
      </c>
      <c r="B286" s="6">
        <v>2155.4899999999998</v>
      </c>
      <c r="C286" s="6">
        <v>-12.05</v>
      </c>
      <c r="D286" s="6">
        <v>-29.76</v>
      </c>
      <c r="E286" s="7">
        <v>1642581406</v>
      </c>
      <c r="F286">
        <v>3.3969999999999998</v>
      </c>
      <c r="G286">
        <v>2.2999999999999998</v>
      </c>
      <c r="H286" s="9">
        <f t="shared" si="6"/>
        <v>-9.75</v>
      </c>
      <c r="I286" s="9">
        <f t="shared" si="7"/>
        <v>2.3000000000000007</v>
      </c>
    </row>
    <row r="287" spans="1:9" x14ac:dyDescent="0.4">
      <c r="A287" s="2">
        <v>44865</v>
      </c>
      <c r="B287" s="3">
        <v>2293.61</v>
      </c>
      <c r="C287" s="3">
        <v>6.41</v>
      </c>
      <c r="D287" s="3">
        <v>-22.79</v>
      </c>
      <c r="E287" s="4">
        <v>1748963338</v>
      </c>
      <c r="F287">
        <v>3.593</v>
      </c>
      <c r="G287">
        <v>2.16</v>
      </c>
      <c r="H287" s="9">
        <f t="shared" si="6"/>
        <v>8.57</v>
      </c>
      <c r="I287" s="9">
        <f t="shared" si="7"/>
        <v>2.16</v>
      </c>
    </row>
    <row r="288" spans="1:9" x14ac:dyDescent="0.4">
      <c r="A288" s="2">
        <v>44895</v>
      </c>
      <c r="B288" s="3">
        <v>2472.5300000000002</v>
      </c>
      <c r="C288" s="3">
        <v>9</v>
      </c>
      <c r="D288" s="3">
        <v>-12.91</v>
      </c>
      <c r="E288" s="4">
        <v>1888823027</v>
      </c>
      <c r="F288">
        <v>3.8119999999999998</v>
      </c>
      <c r="G288">
        <v>2</v>
      </c>
      <c r="H288" s="9">
        <f t="shared" si="6"/>
        <v>11</v>
      </c>
      <c r="I288" s="9">
        <f t="shared" si="7"/>
        <v>2</v>
      </c>
    </row>
    <row r="289" spans="1:9" x14ac:dyDescent="0.4">
      <c r="A289" s="2">
        <v>44926</v>
      </c>
      <c r="B289" s="3">
        <v>2236.4</v>
      </c>
      <c r="C289" s="3">
        <v>-8.1</v>
      </c>
      <c r="D289" s="3">
        <v>-25.29</v>
      </c>
      <c r="E289" s="4">
        <v>1711111558</v>
      </c>
      <c r="F289">
        <v>3.7280000000000002</v>
      </c>
      <c r="G289">
        <v>2.2200000000000002</v>
      </c>
      <c r="H289" s="9">
        <f t="shared" si="6"/>
        <v>-5.879999999999999</v>
      </c>
      <c r="I289" s="9">
        <f t="shared" si="7"/>
        <v>2.2200000000000006</v>
      </c>
    </row>
    <row r="290" spans="1:9" x14ac:dyDescent="0.4">
      <c r="A290" s="2">
        <v>44957</v>
      </c>
      <c r="B290" s="3">
        <v>2425.08</v>
      </c>
      <c r="C290" s="3">
        <v>8.44</v>
      </c>
      <c r="D290" s="3">
        <v>-8.9499999999999993</v>
      </c>
      <c r="E290" s="4">
        <v>1857169601</v>
      </c>
      <c r="F290">
        <v>3.556</v>
      </c>
      <c r="G290">
        <v>2.04</v>
      </c>
      <c r="H290" s="9">
        <f t="shared" si="6"/>
        <v>10.48</v>
      </c>
      <c r="I290" s="9">
        <f t="shared" si="7"/>
        <v>2.0400000000000009</v>
      </c>
    </row>
    <row r="291" spans="1:9" x14ac:dyDescent="0.4">
      <c r="A291" s="5">
        <v>44985</v>
      </c>
      <c r="B291" s="6">
        <v>2412.85</v>
      </c>
      <c r="C291" s="6">
        <v>-2.87</v>
      </c>
      <c r="D291" s="6">
        <v>-10.61</v>
      </c>
      <c r="E291" s="7">
        <v>1844097974</v>
      </c>
      <c r="F291">
        <v>3.5390000000000001</v>
      </c>
      <c r="G291">
        <v>2.0499999999999998</v>
      </c>
      <c r="H291" s="9">
        <f t="shared" si="6"/>
        <v>-0.82000000000000028</v>
      </c>
      <c r="I291" s="9">
        <f t="shared" si="7"/>
        <v>2.0499999999999998</v>
      </c>
    </row>
    <row r="292" spans="1:9" x14ac:dyDescent="0.4">
      <c r="A292" s="2">
        <v>45016</v>
      </c>
      <c r="B292" s="3">
        <v>2476.86</v>
      </c>
      <c r="C292" s="3">
        <v>2.65</v>
      </c>
      <c r="D292" s="3">
        <v>-10.18</v>
      </c>
      <c r="E292" s="4">
        <v>1895240272</v>
      </c>
      <c r="F292">
        <v>3.4820000000000002</v>
      </c>
      <c r="G292">
        <v>2</v>
      </c>
      <c r="H292" s="9">
        <f t="shared" si="6"/>
        <v>4.6500000000000004</v>
      </c>
      <c r="I292" s="9">
        <f t="shared" si="7"/>
        <v>2.0000000000000004</v>
      </c>
    </row>
    <row r="293" spans="1:9" x14ac:dyDescent="0.4">
      <c r="A293" s="2">
        <v>45046</v>
      </c>
      <c r="B293" s="3">
        <v>2501.5300000000002</v>
      </c>
      <c r="C293" s="3">
        <v>2.73</v>
      </c>
      <c r="D293" s="3">
        <v>-6.22</v>
      </c>
      <c r="E293" s="4">
        <v>1913770780</v>
      </c>
      <c r="F293">
        <v>3.2589999999999999</v>
      </c>
      <c r="G293">
        <v>1.98</v>
      </c>
      <c r="H293" s="9">
        <f t="shared" si="6"/>
        <v>4.71</v>
      </c>
      <c r="I293" s="9">
        <f t="shared" si="7"/>
        <v>1.98</v>
      </c>
    </row>
    <row r="294" spans="1:9" x14ac:dyDescent="0.4">
      <c r="A294" s="2">
        <v>45077</v>
      </c>
      <c r="B294" s="3">
        <v>2577.12</v>
      </c>
      <c r="C294" s="3">
        <v>3.02</v>
      </c>
      <c r="D294" s="3">
        <v>-4.05</v>
      </c>
      <c r="E294" s="4">
        <v>1971536399</v>
      </c>
      <c r="F294">
        <v>3.4039999999999999</v>
      </c>
      <c r="G294">
        <v>1.93</v>
      </c>
      <c r="H294" s="9">
        <f t="shared" si="6"/>
        <v>4.95</v>
      </c>
      <c r="I294" s="9">
        <f t="shared" si="7"/>
        <v>1.9300000000000002</v>
      </c>
    </row>
    <row r="295" spans="1:9" x14ac:dyDescent="0.4">
      <c r="A295" s="2">
        <v>45107</v>
      </c>
      <c r="B295" s="3">
        <v>2564.2800000000002</v>
      </c>
      <c r="C295" s="3">
        <v>-0.82</v>
      </c>
      <c r="D295" s="3">
        <v>9.93</v>
      </c>
      <c r="E295" s="4">
        <v>1966105864</v>
      </c>
      <c r="F295">
        <v>3.5409999999999999</v>
      </c>
      <c r="G295">
        <v>1.94</v>
      </c>
      <c r="H295" s="9">
        <f t="shared" si="6"/>
        <v>1.1200000000000001</v>
      </c>
      <c r="I295" s="9">
        <f t="shared" si="7"/>
        <v>1.94</v>
      </c>
    </row>
    <row r="296" spans="1:9" x14ac:dyDescent="0.4">
      <c r="A296" s="5">
        <v>45138</v>
      </c>
      <c r="B296" s="6">
        <v>2632.58</v>
      </c>
      <c r="C296" s="6">
        <v>2.66</v>
      </c>
      <c r="D296" s="6">
        <v>7.39</v>
      </c>
      <c r="E296" s="7">
        <v>2019099991</v>
      </c>
      <c r="F296">
        <v>3.6019999999999999</v>
      </c>
      <c r="G296">
        <v>1.88</v>
      </c>
      <c r="H296" s="9">
        <f t="shared" si="6"/>
        <v>4.54</v>
      </c>
      <c r="I296" s="9">
        <f t="shared" si="7"/>
        <v>1.88</v>
      </c>
    </row>
    <row r="297" spans="1:9" x14ac:dyDescent="0.4">
      <c r="A297" s="2">
        <v>45169</v>
      </c>
      <c r="B297" s="3">
        <v>2556.27</v>
      </c>
      <c r="C297" s="3">
        <v>-2.9</v>
      </c>
      <c r="D297" s="3">
        <v>3.41</v>
      </c>
      <c r="E297" s="4">
        <v>1963827833</v>
      </c>
      <c r="F297">
        <v>3.5939999999999999</v>
      </c>
      <c r="G297">
        <v>1.94</v>
      </c>
      <c r="H297" s="9">
        <f t="shared" si="6"/>
        <v>-0.96</v>
      </c>
      <c r="I297" s="9">
        <f t="shared" si="7"/>
        <v>1.94</v>
      </c>
    </row>
    <row r="298" spans="1:9" x14ac:dyDescent="0.4">
      <c r="A298" s="2">
        <v>45199</v>
      </c>
      <c r="B298" s="3">
        <v>2465.0700000000002</v>
      </c>
      <c r="C298" s="3">
        <v>-2.15</v>
      </c>
      <c r="D298" s="3">
        <v>10.85</v>
      </c>
      <c r="E298" s="4">
        <v>1896373108</v>
      </c>
      <c r="F298">
        <v>3.6509999999999998</v>
      </c>
      <c r="G298">
        <v>2</v>
      </c>
      <c r="H298" s="9">
        <f t="shared" si="6"/>
        <v>-0.14999999999999991</v>
      </c>
      <c r="I298" s="9">
        <f t="shared" si="7"/>
        <v>2</v>
      </c>
    </row>
    <row r="299" spans="1:9" x14ac:dyDescent="0.4">
      <c r="A299" s="2">
        <v>45230</v>
      </c>
      <c r="B299" s="3">
        <v>2277.9899999999998</v>
      </c>
      <c r="C299" s="3">
        <v>-7.59</v>
      </c>
      <c r="D299" s="3">
        <v>-0.68</v>
      </c>
      <c r="E299" s="4">
        <v>1755909194</v>
      </c>
      <c r="F299">
        <v>3.7450000000000001</v>
      </c>
      <c r="G299">
        <v>2.16</v>
      </c>
      <c r="H299" s="9">
        <f t="shared" si="6"/>
        <v>-5.43</v>
      </c>
      <c r="I299" s="9">
        <f t="shared" si="7"/>
        <v>2.16</v>
      </c>
    </row>
    <row r="300" spans="1:9" x14ac:dyDescent="0.4">
      <c r="A300" s="2">
        <v>45260</v>
      </c>
      <c r="B300" s="3">
        <v>2535.29</v>
      </c>
      <c r="C300" s="3">
        <v>9.73</v>
      </c>
      <c r="D300" s="3">
        <v>2.54</v>
      </c>
      <c r="E300" s="4">
        <v>1961520148</v>
      </c>
      <c r="F300">
        <v>3.6869999999999998</v>
      </c>
      <c r="G300">
        <v>1.94</v>
      </c>
      <c r="H300" s="9">
        <f t="shared" si="6"/>
        <v>11.67</v>
      </c>
      <c r="I300" s="9">
        <f t="shared" si="7"/>
        <v>1.9399999999999995</v>
      </c>
    </row>
    <row r="301" spans="1:9" x14ac:dyDescent="0.4">
      <c r="A301" s="5">
        <v>45291</v>
      </c>
      <c r="B301" s="6">
        <v>2655.28</v>
      </c>
      <c r="C301" s="6">
        <v>5.29</v>
      </c>
      <c r="D301" s="6">
        <v>16.440000000000001</v>
      </c>
      <c r="E301" s="7">
        <v>2055990776</v>
      </c>
      <c r="F301">
        <v>3.4990000000000001</v>
      </c>
      <c r="G301">
        <v>1.83</v>
      </c>
      <c r="H301" s="9">
        <f t="shared" si="6"/>
        <v>7.12</v>
      </c>
      <c r="I301" s="9">
        <f t="shared" si="7"/>
        <v>1.83</v>
      </c>
    </row>
    <row r="302" spans="1:9" x14ac:dyDescent="0.4">
      <c r="A302" s="2">
        <v>45322</v>
      </c>
      <c r="B302" s="3">
        <v>2497.09</v>
      </c>
      <c r="C302" s="3">
        <v>-5.96</v>
      </c>
      <c r="D302" s="3">
        <v>2.97</v>
      </c>
      <c r="E302" s="4">
        <v>1964913959</v>
      </c>
      <c r="F302">
        <v>3.327</v>
      </c>
      <c r="G302">
        <v>1.93</v>
      </c>
      <c r="H302" s="9">
        <f t="shared" si="6"/>
        <v>-4.03</v>
      </c>
      <c r="I302" s="9">
        <f t="shared" si="7"/>
        <v>1.9299999999999997</v>
      </c>
    </row>
    <row r="303" spans="1:9" x14ac:dyDescent="0.4">
      <c r="A303" s="2">
        <v>45351</v>
      </c>
      <c r="B303" s="3">
        <v>2642.36</v>
      </c>
      <c r="C303" s="3">
        <v>5.67</v>
      </c>
      <c r="D303" s="3">
        <v>9.51</v>
      </c>
      <c r="E303" s="4">
        <v>2081649650</v>
      </c>
      <c r="F303">
        <v>3.379</v>
      </c>
      <c r="G303">
        <v>1.83</v>
      </c>
      <c r="H303" s="9">
        <f t="shared" si="6"/>
        <v>7.5</v>
      </c>
      <c r="I303" s="9">
        <f t="shared" si="7"/>
        <v>1.83</v>
      </c>
    </row>
    <row r="304" spans="1:9" x14ac:dyDescent="0.4">
      <c r="A304" s="2">
        <v>45382</v>
      </c>
      <c r="B304" s="3">
        <v>2746.63</v>
      </c>
      <c r="C304" s="3">
        <v>3.95</v>
      </c>
      <c r="D304" s="3">
        <v>12.39</v>
      </c>
      <c r="E304" s="4">
        <v>2162613338</v>
      </c>
      <c r="F304">
        <v>3.3650000000000002</v>
      </c>
      <c r="G304">
        <v>1.76</v>
      </c>
      <c r="H304" s="9">
        <f t="shared" si="6"/>
        <v>5.71</v>
      </c>
      <c r="I304" s="9">
        <f t="shared" si="7"/>
        <v>1.7599999999999998</v>
      </c>
    </row>
    <row r="305" spans="1:9" x14ac:dyDescent="0.4">
      <c r="A305" s="2">
        <v>45412</v>
      </c>
      <c r="B305" s="3">
        <v>2692.06</v>
      </c>
      <c r="C305" s="3">
        <v>-1.99</v>
      </c>
      <c r="D305" s="3">
        <v>7.62</v>
      </c>
      <c r="E305" s="4">
        <v>2118040095</v>
      </c>
      <c r="F305">
        <v>3.3889999999999998</v>
      </c>
      <c r="G305">
        <v>1.79</v>
      </c>
      <c r="H305" s="9">
        <f t="shared" si="6"/>
        <v>-0.19999999999999996</v>
      </c>
      <c r="I305" s="9">
        <f t="shared" si="7"/>
        <v>1.79</v>
      </c>
    </row>
    <row r="306" spans="1:9" x14ac:dyDescent="0.4">
      <c r="A306" s="5">
        <v>45443</v>
      </c>
      <c r="B306" s="6">
        <v>2636.52</v>
      </c>
      <c r="C306" s="6">
        <v>-2.06</v>
      </c>
      <c r="D306" s="6">
        <v>2.2999999999999998</v>
      </c>
      <c r="E306" s="7">
        <v>2079443325</v>
      </c>
      <c r="F306">
        <v>3.387</v>
      </c>
      <c r="G306">
        <v>1.89</v>
      </c>
      <c r="H306" s="9">
        <f t="shared" si="6"/>
        <v>-0.17000000000000015</v>
      </c>
      <c r="I306" s="9">
        <f t="shared" si="7"/>
        <v>1.89</v>
      </c>
    </row>
    <row r="307" spans="1:9" x14ac:dyDescent="0.4">
      <c r="A307" s="2">
        <v>45473</v>
      </c>
      <c r="B307" s="3">
        <v>2797.82</v>
      </c>
      <c r="C307" s="3">
        <v>2.75</v>
      </c>
      <c r="D307" s="3">
        <v>9.11</v>
      </c>
      <c r="E307" s="4">
        <v>2207896034</v>
      </c>
      <c r="F307">
        <v>3.3519999999999999</v>
      </c>
      <c r="G307">
        <v>1.78</v>
      </c>
      <c r="H307" s="9">
        <f t="shared" si="6"/>
        <v>4.53</v>
      </c>
      <c r="I307" s="9">
        <f t="shared" si="7"/>
        <v>1.7800000000000002</v>
      </c>
    </row>
    <row r="308" spans="1:9" x14ac:dyDescent="0.4">
      <c r="A308" s="2">
        <v>45504</v>
      </c>
      <c r="B308" s="3">
        <v>2770.69</v>
      </c>
      <c r="C308" s="3">
        <v>-0.97</v>
      </c>
      <c r="D308" s="3">
        <v>5.25</v>
      </c>
      <c r="E308" s="4">
        <v>2190960717</v>
      </c>
      <c r="F308">
        <v>3.21</v>
      </c>
      <c r="G308">
        <v>1.79</v>
      </c>
      <c r="H308" s="9">
        <f t="shared" si="6"/>
        <v>0.82000000000000006</v>
      </c>
      <c r="I308" s="9">
        <f t="shared" si="7"/>
        <v>1.79</v>
      </c>
    </row>
    <row r="309" spans="1:9" x14ac:dyDescent="0.4">
      <c r="A309" s="2">
        <v>45535</v>
      </c>
      <c r="B309" s="3">
        <v>2674.31</v>
      </c>
      <c r="C309" s="3">
        <v>-2.33</v>
      </c>
      <c r="D309" s="3">
        <v>4.42</v>
      </c>
      <c r="E309" s="4">
        <v>2114525437</v>
      </c>
      <c r="F309">
        <v>3.048</v>
      </c>
      <c r="G309">
        <v>1.86</v>
      </c>
      <c r="H309" s="9">
        <f t="shared" si="6"/>
        <v>-0.47</v>
      </c>
      <c r="I309" s="9">
        <f t="shared" si="7"/>
        <v>1.86</v>
      </c>
    </row>
    <row r="310" spans="1:9" x14ac:dyDescent="0.4">
      <c r="A310" s="2">
        <v>45565</v>
      </c>
      <c r="B310" s="3">
        <v>2593.27</v>
      </c>
      <c r="C310" s="3">
        <v>-3.03</v>
      </c>
      <c r="D310" s="3">
        <v>5.2</v>
      </c>
      <c r="E310" s="4">
        <v>2051667153</v>
      </c>
      <c r="F310">
        <v>2.9209999999999998</v>
      </c>
      <c r="G310">
        <v>1.92</v>
      </c>
      <c r="H310" s="9">
        <f t="shared" si="6"/>
        <v>-1.1099999999999999</v>
      </c>
      <c r="I310" s="9">
        <f t="shared" si="7"/>
        <v>1.92</v>
      </c>
    </row>
    <row r="311" spans="1:9" x14ac:dyDescent="0.4">
      <c r="A311" s="5">
        <v>45596</v>
      </c>
      <c r="B311" s="6">
        <v>2556.15</v>
      </c>
      <c r="C311" s="6">
        <v>-1.43</v>
      </c>
      <c r="D311" s="6">
        <v>12.21</v>
      </c>
      <c r="E311" s="7">
        <v>2023031380</v>
      </c>
      <c r="F311">
        <v>2.86</v>
      </c>
      <c r="G311">
        <v>1.94</v>
      </c>
      <c r="H311" s="9">
        <f t="shared" si="6"/>
        <v>0.51</v>
      </c>
      <c r="I311" s="9">
        <f t="shared" si="7"/>
        <v>1.94</v>
      </c>
    </row>
    <row r="312" spans="1:9" x14ac:dyDescent="0.4">
      <c r="A312" s="2">
        <v>45626</v>
      </c>
      <c r="B312" s="3">
        <v>2455.91</v>
      </c>
      <c r="C312" s="3">
        <v>-6.18</v>
      </c>
      <c r="D312" s="3">
        <v>-2.54</v>
      </c>
      <c r="E312" s="4">
        <v>1952766122</v>
      </c>
      <c r="F312">
        <v>2.8239999999999998</v>
      </c>
      <c r="G312">
        <v>2.0099999999999998</v>
      </c>
      <c r="H312" s="9">
        <f t="shared" si="6"/>
        <v>-4.17</v>
      </c>
      <c r="I312" s="9">
        <f t="shared" si="7"/>
        <v>2.0099999999999998</v>
      </c>
    </row>
    <row r="313" spans="1:9" x14ac:dyDescent="0.4">
      <c r="A313" s="2">
        <v>45657</v>
      </c>
      <c r="B313" s="3">
        <v>2399.4899999999998</v>
      </c>
      <c r="C313" s="3">
        <v>-2.2999999999999998</v>
      </c>
      <c r="D313" s="3">
        <v>-9.6300000000000008</v>
      </c>
      <c r="E313" s="4">
        <v>1908584452</v>
      </c>
      <c r="F313">
        <v>2.698</v>
      </c>
      <c r="G313">
        <v>2.06</v>
      </c>
      <c r="H313" s="9">
        <f t="shared" si="6"/>
        <v>-0.23999999999999977</v>
      </c>
      <c r="I313" s="9">
        <f t="shared" si="7"/>
        <v>2.06</v>
      </c>
    </row>
    <row r="314" spans="1:9" x14ac:dyDescent="0.4">
      <c r="A314" s="2">
        <v>45688</v>
      </c>
      <c r="B314" s="3">
        <v>2517.37</v>
      </c>
      <c r="C314" s="3">
        <v>4.91</v>
      </c>
      <c r="D314" s="3">
        <v>0.81</v>
      </c>
      <c r="E314" s="4">
        <v>2002637162</v>
      </c>
      <c r="F314">
        <v>2.6360000000000001</v>
      </c>
      <c r="G314">
        <v>1.96</v>
      </c>
      <c r="H314" s="9">
        <f t="shared" si="6"/>
        <v>6.87</v>
      </c>
      <c r="I314" s="9">
        <f t="shared" si="7"/>
        <v>1.96</v>
      </c>
    </row>
    <row r="315" spans="1:9" x14ac:dyDescent="0.4">
      <c r="A315" s="2">
        <v>45716</v>
      </c>
      <c r="B315" s="3">
        <v>2532.7800000000002</v>
      </c>
      <c r="C315" s="3">
        <v>-0.16</v>
      </c>
      <c r="D315" s="3">
        <v>-4.51</v>
      </c>
      <c r="E315" s="4">
        <v>2019489121</v>
      </c>
      <c r="F315">
        <v>2.6230000000000002</v>
      </c>
      <c r="G315">
        <v>1.96</v>
      </c>
      <c r="H315" s="9">
        <f t="shared" si="6"/>
        <v>1.8</v>
      </c>
      <c r="I315" s="9">
        <f t="shared" si="7"/>
        <v>1.96</v>
      </c>
    </row>
    <row r="316" spans="1:9" x14ac:dyDescent="0.4">
      <c r="A316" s="5">
        <v>45747</v>
      </c>
      <c r="B316" s="6">
        <v>2481.12</v>
      </c>
      <c r="C316" s="6">
        <v>-2.04</v>
      </c>
      <c r="D316" s="6">
        <v>-9.67</v>
      </c>
      <c r="E316" s="7">
        <v>1977166930</v>
      </c>
      <c r="F316">
        <v>2.6280000000000001</v>
      </c>
      <c r="G316">
        <v>2.0099999999999998</v>
      </c>
      <c r="H316" s="9">
        <f t="shared" si="6"/>
        <v>-3.0000000000000249E-2</v>
      </c>
      <c r="I316" s="9">
        <f t="shared" si="7"/>
        <v>2.0099999999999998</v>
      </c>
    </row>
    <row r="317" spans="1:9" x14ac:dyDescent="0.4">
      <c r="A317" s="2">
        <v>45772</v>
      </c>
      <c r="B317" s="3">
        <v>2546.3000000000002</v>
      </c>
      <c r="C317" s="3">
        <v>-2.66</v>
      </c>
      <c r="D317" s="3">
        <v>-3.13</v>
      </c>
      <c r="E317" s="4">
        <v>2029811347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gayeoun hong</dc:creator>
  <cp:lastModifiedBy>gayeoun hong</cp:lastModifiedBy>
  <dcterms:created xsi:type="dcterms:W3CDTF">2025-04-28T05:39:56Z</dcterms:created>
  <dcterms:modified xsi:type="dcterms:W3CDTF">2025-05-28T05:50:54Z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gitalsignaturetoken">
    <vt:lpwstr>A3mNGjiScNRjQK2jxCJQrg==</vt:lpwstr>
  </property>
  <property fmtid="{D5CDD505-2E9C-101B-9397-08002B2CF9AE}" pid="3" name="DST date">
    <vt:lpwstr>20250428145128</vt:lpwstr>
  </property>
</Properties>
</file>